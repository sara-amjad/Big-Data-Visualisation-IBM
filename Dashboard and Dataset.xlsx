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rry\Desktop\assignments 2nd sem\"/>
    </mc:Choice>
  </mc:AlternateContent>
  <xr:revisionPtr revIDLastSave="0" documentId="13_ncr:1_{E64476EF-1649-44F7-BA56-EBAF4318B117}" xr6:coauthVersionLast="47" xr6:coauthVersionMax="47" xr10:uidLastSave="{00000000-0000-0000-0000-000000000000}"/>
  <bookViews>
    <workbookView xWindow="-120" yWindow="-120" windowWidth="29040" windowHeight="15720" activeTab="9" xr2:uid="{A83C1303-D5C9-4475-AFFE-911B24A81F56}"/>
  </bookViews>
  <sheets>
    <sheet name="Sheet4" sheetId="4" r:id="rId1"/>
    <sheet name="Dashboard" sheetId="9" r:id="rId2"/>
    <sheet name="Sheet7" sheetId="11" r:id="rId3"/>
    <sheet name="Sheet5" sheetId="6" r:id="rId4"/>
    <sheet name="Sheet3" sheetId="10" r:id="rId5"/>
    <sheet name="Sheet6" sheetId="13" r:id="rId6"/>
    <sheet name="Sheet10" sheetId="16" r:id="rId7"/>
    <sheet name="Cleaned Data" sheetId="3" r:id="rId8"/>
    <sheet name="Sheet1" sheetId="1" r:id="rId9"/>
    <sheet name="Sheet11" sheetId="19" r:id="rId10"/>
  </sheets>
  <definedNames>
    <definedName name="_xlnm._FilterDatabase" localSheetId="7" hidden="1">'Cleaned Data'!$A$1:$L$31</definedName>
    <definedName name="_xlchart.v1.0" hidden="1">Sheet11!$A$1</definedName>
    <definedName name="_xlchart.v1.1" hidden="1">Sheet11!$A$2:$A$9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<sst xmlns="http://schemas.openxmlformats.org/spreadsheetml/2006/main" count="53" uniqueCount="32">
  <si>
    <t>UserID</t>
  </si>
  <si>
    <t>DeptCode</t>
  </si>
  <si>
    <t>RegionCode</t>
  </si>
  <si>
    <t>CloudUsageHours</t>
  </si>
  <si>
    <t>SatisfactionScore</t>
  </si>
  <si>
    <t>MonthlySpendingUSD</t>
  </si>
  <si>
    <t>SupportRequests</t>
  </si>
  <si>
    <t>UpgradesRequested</t>
  </si>
  <si>
    <t>ContractLengthMonths</t>
  </si>
  <si>
    <t>ActiveProjects</t>
  </si>
  <si>
    <t>DataStorageUsedGB</t>
  </si>
  <si>
    <t>ComplaintsFiled</t>
  </si>
  <si>
    <t>SecurityIncidentsReported</t>
  </si>
  <si>
    <t>TrainingHoursCompleted</t>
  </si>
  <si>
    <t>RenewalProbability</t>
  </si>
  <si>
    <t>Row Labels</t>
  </si>
  <si>
    <t>Grand Total</t>
  </si>
  <si>
    <t>Average Satisfaction Score by Contract Length</t>
  </si>
  <si>
    <t>Sum of SupportRequests</t>
  </si>
  <si>
    <t>Insight Category</t>
  </si>
  <si>
    <t>Satisfaction by Contract</t>
  </si>
  <si>
    <t>Longer contracts align with higher satisfaction scores.</t>
  </si>
  <si>
    <t>Support vs. Spending</t>
  </si>
  <si>
    <t>High-spending clients tend to raise more support requests.</t>
  </si>
  <si>
    <t>Training &amp; Renewal</t>
  </si>
  <si>
    <t>More training hours completed lead to increased renewal probability.</t>
  </si>
  <si>
    <t>Sum of UpgradesRequested</t>
  </si>
  <si>
    <t>Complaints &amp; Projects</t>
  </si>
  <si>
    <t>Fewer complaints reported in projects with longer durations.</t>
  </si>
  <si>
    <r>
      <t xml:space="preserve">	</t>
    </r>
    <r>
      <rPr>
        <sz val="12"/>
        <color theme="1"/>
        <rFont val="Times New Roman"/>
        <family val="1"/>
      </rPr>
      <t>Key Observation</t>
    </r>
  </si>
  <si>
    <t>Max of RenewalProbability</t>
  </si>
  <si>
    <t>Sum of SatisfactionScore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</si>
</sst>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05-Data Set-Sara_Amjad.xlsx]Sheet4!PivotTable1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Sheet4!$A$4:$A$11</c:f>
              <c:strCache>
                <c:ptCount val="7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21</c:v>
                </c:pt>
                <c:pt idx="6">
                  <c:v>24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3.6666666666666665</c:v>
                </c:pt>
                <c:pt idx="1">
                  <c:v>3.7600000000000002</c:v>
                </c:pt>
                <c:pt idx="2">
                  <c:v>4.0599999999999996</c:v>
                </c:pt>
                <c:pt idx="3">
                  <c:v>4.1333333333333337</c:v>
                </c:pt>
                <c:pt idx="4">
                  <c:v>4.333333333333333</c:v>
                </c:pt>
                <c:pt idx="5">
                  <c:v>4.5999999999999996</c:v>
                </c:pt>
                <c:pt idx="6">
                  <c:v>4.7500000000000009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8-4D6F-BC6E-3FE56A562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3525679"/>
        <c:axId val="1473527599"/>
      </c:barChart>
      <c:catAx>
        <c:axId val="1473525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527599"/>
        <c:crosses val="autoZero"/>
        <c:auto val="1"/>
        <c:lblAlgn val="ctr"/>
        <c:lblOffset val="100"/>
        <c:noMultiLvlLbl val="0"/>
      </c:catAx>
      <c:valAx>
        <c:axId val="147352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52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05-Data Set-Sara_Amjad.xlsx]Sheet4!PivotTable1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Satisfaction Score by Contract Length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Sheet4!$A$4:$A$11</c:f>
              <c:strCache>
                <c:ptCount val="7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21</c:v>
                </c:pt>
                <c:pt idx="6">
                  <c:v>24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3.6666666666666665</c:v>
                </c:pt>
                <c:pt idx="1">
                  <c:v>3.7600000000000002</c:v>
                </c:pt>
                <c:pt idx="2">
                  <c:v>4.0599999999999996</c:v>
                </c:pt>
                <c:pt idx="3">
                  <c:v>4.1333333333333337</c:v>
                </c:pt>
                <c:pt idx="4">
                  <c:v>4.333333333333333</c:v>
                </c:pt>
                <c:pt idx="5">
                  <c:v>4.5999999999999996</c:v>
                </c:pt>
                <c:pt idx="6">
                  <c:v>4.7500000000000009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5-4EE4-B9DC-4C795A71A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3525679"/>
        <c:axId val="1473527599"/>
      </c:barChart>
      <c:catAx>
        <c:axId val="1473525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527599"/>
        <c:crosses val="autoZero"/>
        <c:auto val="1"/>
        <c:lblAlgn val="ctr"/>
        <c:lblOffset val="100"/>
        <c:noMultiLvlLbl val="0"/>
      </c:catAx>
      <c:valAx>
        <c:axId val="147352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52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[Unit 05-Data Set-Sara_Amjad.xlsx]Sheet5!PivotTable3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Support Requests Distribution by Monthly Spending Ranges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shade val="3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>
              <a:shade val="4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>
              <a:shade val="5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>
              <a:shade val="7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>
              <a:shade val="8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>
              <a:shade val="9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>
              <a:tint val="9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>
              <a:tint val="8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>
              <a:tint val="7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>
              <a:tint val="5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>
              <a:tint val="4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>
              <a:tint val="39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3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DF-4D00-9524-F5406545C9F3}"/>
              </c:ext>
            </c:extLst>
          </c:dPt>
          <c:dPt>
            <c:idx val="1"/>
            <c:bubble3D val="0"/>
            <c:spPr>
              <a:solidFill>
                <a:schemeClr val="accent1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DF-4D00-9524-F5406545C9F3}"/>
              </c:ext>
            </c:extLst>
          </c:dPt>
          <c:dPt>
            <c:idx val="2"/>
            <c:bubble3D val="0"/>
            <c:spPr>
              <a:solidFill>
                <a:schemeClr val="accent1">
                  <a:shade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DF-4D00-9524-F5406545C9F3}"/>
              </c:ext>
            </c:extLst>
          </c:dPt>
          <c:dPt>
            <c:idx val="3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DF-4D00-9524-F5406545C9F3}"/>
              </c:ext>
            </c:extLst>
          </c:dPt>
          <c:dPt>
            <c:idx val="4"/>
            <c:bubble3D val="0"/>
            <c:spPr>
              <a:solidFill>
                <a:schemeClr val="accent1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2DF-4D00-9524-F5406545C9F3}"/>
              </c:ext>
            </c:extLst>
          </c:dPt>
          <c:dPt>
            <c:idx val="5"/>
            <c:bubble3D val="0"/>
            <c:spPr>
              <a:solidFill>
                <a:schemeClr val="accent1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2DF-4D00-9524-F5406545C9F3}"/>
              </c:ext>
            </c:extLst>
          </c:dPt>
          <c:dPt>
            <c:idx val="6"/>
            <c:bubble3D val="0"/>
            <c:spPr>
              <a:solidFill>
                <a:schemeClr val="accent1">
                  <a:shade val="9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2DF-4D00-9524-F5406545C9F3}"/>
              </c:ext>
            </c:extLst>
          </c:dPt>
          <c:dPt>
            <c:idx val="7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2DF-4D00-9524-F5406545C9F3}"/>
              </c:ext>
            </c:extLst>
          </c:dPt>
          <c:dPt>
            <c:idx val="8"/>
            <c:bubble3D val="0"/>
            <c:spPr>
              <a:solidFill>
                <a:schemeClr val="accent1">
                  <a:tint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2DF-4D00-9524-F5406545C9F3}"/>
              </c:ext>
            </c:extLst>
          </c:dPt>
          <c:dPt>
            <c:idx val="9"/>
            <c:bubble3D val="0"/>
            <c:spPr>
              <a:solidFill>
                <a:schemeClr val="accent1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2DF-4D00-9524-F5406545C9F3}"/>
              </c:ext>
            </c:extLst>
          </c:dPt>
          <c:dPt>
            <c:idx val="10"/>
            <c:bubble3D val="0"/>
            <c:spPr>
              <a:solidFill>
                <a:schemeClr val="accent1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2DF-4D00-9524-F5406545C9F3}"/>
              </c:ext>
            </c:extLst>
          </c:dPt>
          <c:dPt>
            <c:idx val="11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2DF-4D00-9524-F5406545C9F3}"/>
              </c:ext>
            </c:extLst>
          </c:dPt>
          <c:dPt>
            <c:idx val="12"/>
            <c:bubble3D val="0"/>
            <c:spPr>
              <a:solidFill>
                <a:schemeClr val="accent1">
                  <a:tint val="5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2DF-4D00-9524-F5406545C9F3}"/>
              </c:ext>
            </c:extLst>
          </c:dPt>
          <c:dPt>
            <c:idx val="13"/>
            <c:bubble3D val="0"/>
            <c:spPr>
              <a:solidFill>
                <a:schemeClr val="accent1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2DF-4D00-9524-F5406545C9F3}"/>
              </c:ext>
            </c:extLst>
          </c:dPt>
          <c:dPt>
            <c:idx val="14"/>
            <c:bubble3D val="0"/>
            <c:spPr>
              <a:solidFill>
                <a:schemeClr val="accent1">
                  <a:tint val="3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2DF-4D00-9524-F5406545C9F3}"/>
              </c:ext>
            </c:extLst>
          </c:dPt>
          <c:cat>
            <c:strRef>
              <c:f>Sheet5!$A$4:$A$19</c:f>
              <c:strCache>
                <c:ptCount val="15"/>
                <c:pt idx="0">
                  <c:v>1600</c:v>
                </c:pt>
                <c:pt idx="1">
                  <c:v>1650</c:v>
                </c:pt>
                <c:pt idx="2">
                  <c:v>1700</c:v>
                </c:pt>
                <c:pt idx="3">
                  <c:v>1750</c:v>
                </c:pt>
                <c:pt idx="4">
                  <c:v>1800</c:v>
                </c:pt>
                <c:pt idx="5">
                  <c:v>1850</c:v>
                </c:pt>
                <c:pt idx="6">
                  <c:v>1900</c:v>
                </c:pt>
                <c:pt idx="7">
                  <c:v>1950</c:v>
                </c:pt>
                <c:pt idx="8">
                  <c:v>2000</c:v>
                </c:pt>
                <c:pt idx="9">
                  <c:v>2050</c:v>
                </c:pt>
                <c:pt idx="10">
                  <c:v>2100</c:v>
                </c:pt>
                <c:pt idx="11">
                  <c:v>2150</c:v>
                </c:pt>
                <c:pt idx="12">
                  <c:v>2200</c:v>
                </c:pt>
                <c:pt idx="13">
                  <c:v>2250</c:v>
                </c:pt>
                <c:pt idx="14">
                  <c:v>2300</c:v>
                </c:pt>
              </c:strCache>
            </c:strRef>
          </c:cat>
          <c:val>
            <c:numRef>
              <c:f>Sheet5!$B$4:$B$19</c:f>
              <c:numCache>
                <c:formatCode>General</c:formatCode>
                <c:ptCount val="15"/>
                <c:pt idx="0">
                  <c:v>6</c:v>
                </c:pt>
                <c:pt idx="1">
                  <c:v>4</c:v>
                </c:pt>
                <c:pt idx="2">
                  <c:v>10</c:v>
                </c:pt>
                <c:pt idx="3">
                  <c:v>8</c:v>
                </c:pt>
                <c:pt idx="4">
                  <c:v>16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2DF-4D00-9524-F5406545C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94374660461504"/>
          <c:y val="0.14055318330287278"/>
          <c:w val="0.25380954446585818"/>
          <c:h val="0.710818796605703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05-Data Set-Sara_Amjad.xlsx]Sheet3!PivotTable1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Upgrades Requested by Contract Length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Sheet3!$A$2:$A$9</c:f>
              <c:strCache>
                <c:ptCount val="7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21</c:v>
                </c:pt>
                <c:pt idx="6">
                  <c:v>24</c:v>
                </c:pt>
              </c:strCache>
            </c:strRef>
          </c:cat>
          <c:val>
            <c:numRef>
              <c:f>Sheet3!$B$2:$B$9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5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5-4A2E-863A-DE0292691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053424"/>
        <c:axId val="920057264"/>
      </c:barChart>
      <c:catAx>
        <c:axId val="92005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057264"/>
        <c:crosses val="autoZero"/>
        <c:auto val="1"/>
        <c:lblAlgn val="ctr"/>
        <c:lblOffset val="100"/>
        <c:noMultiLvlLbl val="0"/>
      </c:catAx>
      <c:valAx>
        <c:axId val="92005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05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05-Data Set-Sara_Amjad.xlsx]Sheet6!PivotTable2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Renewal Probability by Training Hours Completed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Sheet6!$A$2:$A$16</c:f>
              <c:strCache>
                <c:ptCount val="1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</c:strCache>
            </c:strRef>
          </c:cat>
          <c:val>
            <c:numRef>
              <c:f>Sheet6!$B$2:$B$16</c:f>
              <c:numCache>
                <c:formatCode>General</c:formatCode>
                <c:ptCount val="14"/>
                <c:pt idx="0">
                  <c:v>0.45</c:v>
                </c:pt>
                <c:pt idx="1">
                  <c:v>0.53</c:v>
                </c:pt>
                <c:pt idx="2">
                  <c:v>0.6</c:v>
                </c:pt>
                <c:pt idx="3">
                  <c:v>0.65</c:v>
                </c:pt>
                <c:pt idx="4">
                  <c:v>0.8</c:v>
                </c:pt>
                <c:pt idx="5">
                  <c:v>0.85</c:v>
                </c:pt>
                <c:pt idx="6">
                  <c:v>0.8</c:v>
                </c:pt>
                <c:pt idx="7">
                  <c:v>0.85</c:v>
                </c:pt>
                <c:pt idx="8">
                  <c:v>0.88</c:v>
                </c:pt>
                <c:pt idx="9">
                  <c:v>0.9</c:v>
                </c:pt>
                <c:pt idx="10">
                  <c:v>0.92</c:v>
                </c:pt>
                <c:pt idx="11">
                  <c:v>0.95</c:v>
                </c:pt>
                <c:pt idx="12">
                  <c:v>0.9</c:v>
                </c:pt>
                <c:pt idx="1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E-44D6-BF23-0CEF875A1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8981376"/>
        <c:axId val="648992896"/>
      </c:lineChart>
      <c:catAx>
        <c:axId val="6489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992896"/>
        <c:crosses val="autoZero"/>
        <c:auto val="1"/>
        <c:lblAlgn val="ctr"/>
        <c:lblOffset val="100"/>
        <c:noMultiLvlLbl val="0"/>
      </c:catAx>
      <c:valAx>
        <c:axId val="64899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98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05-Data Set-Sara_Amjad.xlsx]Sheet5!PivotTable3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Support Requests Distribution by Monthly Spending Ranges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5B-42E6-B6C8-BA9062894D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5B-42E6-B6C8-BA9062894D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5B-42E6-B6C8-BA9062894D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5B-42E6-B6C8-BA9062894D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55B-42E6-B6C8-BA9062894D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55B-42E6-B6C8-BA9062894D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55B-42E6-B6C8-BA9062894D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55B-42E6-B6C8-BA9062894D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55B-42E6-B6C8-BA9062894D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55B-42E6-B6C8-BA9062894D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55B-42E6-B6C8-BA9062894D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55B-42E6-B6C8-BA9062894D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55B-42E6-B6C8-BA9062894D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55B-42E6-B6C8-BA9062894D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55B-42E6-B6C8-BA9062894DCE}"/>
              </c:ext>
            </c:extLst>
          </c:dPt>
          <c:cat>
            <c:strRef>
              <c:f>Sheet5!$A$4:$A$19</c:f>
              <c:strCache>
                <c:ptCount val="15"/>
                <c:pt idx="0">
                  <c:v>1600</c:v>
                </c:pt>
                <c:pt idx="1">
                  <c:v>1650</c:v>
                </c:pt>
                <c:pt idx="2">
                  <c:v>1700</c:v>
                </c:pt>
                <c:pt idx="3">
                  <c:v>1750</c:v>
                </c:pt>
                <c:pt idx="4">
                  <c:v>1800</c:v>
                </c:pt>
                <c:pt idx="5">
                  <c:v>1850</c:v>
                </c:pt>
                <c:pt idx="6">
                  <c:v>1900</c:v>
                </c:pt>
                <c:pt idx="7">
                  <c:v>1950</c:v>
                </c:pt>
                <c:pt idx="8">
                  <c:v>2000</c:v>
                </c:pt>
                <c:pt idx="9">
                  <c:v>2050</c:v>
                </c:pt>
                <c:pt idx="10">
                  <c:v>2100</c:v>
                </c:pt>
                <c:pt idx="11">
                  <c:v>2150</c:v>
                </c:pt>
                <c:pt idx="12">
                  <c:v>2200</c:v>
                </c:pt>
                <c:pt idx="13">
                  <c:v>2250</c:v>
                </c:pt>
                <c:pt idx="14">
                  <c:v>2300</c:v>
                </c:pt>
              </c:strCache>
            </c:strRef>
          </c:cat>
          <c:val>
            <c:numRef>
              <c:f>Sheet5!$B$4:$B$19</c:f>
              <c:numCache>
                <c:formatCode>General</c:formatCode>
                <c:ptCount val="15"/>
                <c:pt idx="0">
                  <c:v>6</c:v>
                </c:pt>
                <c:pt idx="1">
                  <c:v>4</c:v>
                </c:pt>
                <c:pt idx="2">
                  <c:v>10</c:v>
                </c:pt>
                <c:pt idx="3">
                  <c:v>8</c:v>
                </c:pt>
                <c:pt idx="4">
                  <c:v>16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1-4D3A-BDA9-3FFD00B65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05-Data Set-Sara_Amjad.xlsx]Sheet3!PivotTable1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Upgrades Requested by Contract Length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Sheet3!$A$2:$A$9</c:f>
              <c:strCache>
                <c:ptCount val="7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21</c:v>
                </c:pt>
                <c:pt idx="6">
                  <c:v>24</c:v>
                </c:pt>
              </c:strCache>
            </c:strRef>
          </c:cat>
          <c:val>
            <c:numRef>
              <c:f>Sheet3!$B$2:$B$9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5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E-41B3-A807-6A4600EE7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053424"/>
        <c:axId val="920057264"/>
      </c:barChart>
      <c:catAx>
        <c:axId val="92005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057264"/>
        <c:crosses val="autoZero"/>
        <c:auto val="1"/>
        <c:lblAlgn val="ctr"/>
        <c:lblOffset val="100"/>
        <c:noMultiLvlLbl val="0"/>
      </c:catAx>
      <c:valAx>
        <c:axId val="92005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05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Distribution of Data Storage Used (GB)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D4148962-B257-41E3-BB24-783A7251F28F}">
          <cx:tx>
            <cx:txData>
              <cx:f>_xlchart.v1.0</cx:f>
              <cx:v>DataStorageUsedGB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5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11</xdr:row>
      <xdr:rowOff>52387</xdr:rowOff>
    </xdr:from>
    <xdr:to>
      <xdr:col>11</xdr:col>
      <xdr:colOff>333375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47274-FF51-E521-02B7-135FC5989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510619</xdr:colOff>
      <xdr:row>3</xdr:row>
      <xdr:rowOff>186572</xdr:rowOff>
    </xdr:from>
    <xdr:to>
      <xdr:col>10</xdr:col>
      <xdr:colOff>108015</xdr:colOff>
      <xdr:row>24</xdr:row>
      <xdr:rowOff>78557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280B00-F721-4631-BEF0-DB9B137F1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579282</xdr:colOff>
      <xdr:row>3</xdr:row>
      <xdr:rowOff>166934</xdr:rowOff>
    </xdr:from>
    <xdr:to>
      <xdr:col>18</xdr:col>
      <xdr:colOff>196392</xdr:colOff>
      <xdr:row>24</xdr:row>
      <xdr:rowOff>58917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A35CE2-381B-40AE-A704-3F86EBBFE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19639</xdr:colOff>
      <xdr:row>0</xdr:row>
      <xdr:rowOff>88376</xdr:rowOff>
    </xdr:from>
    <xdr:to>
      <xdr:col>19</xdr:col>
      <xdr:colOff>68738</xdr:colOff>
      <xdr:row>2</xdr:row>
      <xdr:rowOff>117835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28C0EF3-C46E-4A3D-6554-BCF729264E0D}"/>
            </a:ext>
          </a:extLst>
        </xdr:cNvPr>
        <xdr:cNvSpPr txBox="1"/>
      </xdr:nvSpPr>
      <xdr:spPr>
        <a:xfrm>
          <a:off x="4909794" y="88376"/>
          <a:ext cx="6746057" cy="4026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latin typeface="Times New Roman" panose="02020603050405020304" pitchFamily="18" charset="0"/>
              <a:cs typeface="Times New Roman" panose="02020603050405020304" pitchFamily="18" charset="0"/>
            </a:rPr>
            <a:t>Big Data Insights Dashboard – IBM Customer Dataset</a:t>
          </a:r>
          <a:endParaRPr lang="en-AE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461522</xdr:colOff>
      <xdr:row>28</xdr:row>
      <xdr:rowOff>58917</xdr:rowOff>
    </xdr:from>
    <xdr:to>
      <xdr:col>11</xdr:col>
      <xdr:colOff>117836</xdr:colOff>
      <xdr:row>29</xdr:row>
      <xdr:rowOff>157113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2B64619-6B3C-71BE-5F6E-FBBDA8DB3C03}"/>
            </a:ext>
          </a:extLst>
        </xdr:cNvPr>
        <xdr:cNvSpPr txBox="1"/>
      </xdr:nvSpPr>
      <xdr:spPr>
        <a:xfrm>
          <a:off x="1698790" y="5282938"/>
          <a:ext cx="5135644" cy="2847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Insights &amp; Analysis Report</a:t>
          </a:r>
          <a:endParaRPr lang="en-AE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117836</xdr:colOff>
      <xdr:row>25</xdr:row>
      <xdr:rowOff>68736</xdr:rowOff>
    </xdr:from>
    <xdr:to>
      <xdr:col>28</xdr:col>
      <xdr:colOff>471342</xdr:colOff>
      <xdr:row>37</xdr:row>
      <xdr:rowOff>147293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1BD3342-232A-4C76-8AE2-014F6B7A8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29459</xdr:colOff>
      <xdr:row>30</xdr:row>
      <xdr:rowOff>88376</xdr:rowOff>
    </xdr:from>
    <xdr:to>
      <xdr:col>12</xdr:col>
      <xdr:colOff>323956</xdr:colOff>
      <xdr:row>36</xdr:row>
      <xdr:rowOff>73997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8685795-E524-F459-8743-DFDBF6F0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6727" y="5685541"/>
          <a:ext cx="6382641" cy="1105054"/>
        </a:xfrm>
        <a:prstGeom prst="rect">
          <a:avLst/>
        </a:prstGeom>
      </xdr:spPr>
    </xdr:pic>
    <xdr:clientData/>
  </xdr:twoCellAnchor>
  <xdr:twoCellAnchor>
    <xdr:from>
      <xdr:col>19</xdr:col>
      <xdr:colOff>54741</xdr:colOff>
      <xdr:row>3</xdr:row>
      <xdr:rowOff>175172</xdr:rowOff>
    </xdr:from>
    <xdr:to>
      <xdr:col>27</xdr:col>
      <xdr:colOff>571599</xdr:colOff>
      <xdr:row>24</xdr:row>
      <xdr:rowOff>87586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A8779A-A604-49CB-941D-CBE8DFF07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11</xdr:row>
      <xdr:rowOff>23812</xdr:rowOff>
    </xdr:from>
    <xdr:to>
      <xdr:col>13</xdr:col>
      <xdr:colOff>371475</xdr:colOff>
      <xdr:row>25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EF4AA2-B4D3-A18D-B65B-694A226C9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7</xdr:row>
      <xdr:rowOff>142875</xdr:rowOff>
    </xdr:from>
    <xdr:to>
      <xdr:col>13</xdr:col>
      <xdr:colOff>57150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0FECF7-612B-F810-2EAD-F700F44C7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8</xdr:row>
      <xdr:rowOff>100012</xdr:rowOff>
    </xdr:from>
    <xdr:to>
      <xdr:col>18</xdr:col>
      <xdr:colOff>228600</xdr:colOff>
      <xdr:row>22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6401DE8-0B07-A1F0-9094-539F7BE02B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20050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rry" refreshedDate="45816.886020138889" createdVersion="8" refreshedVersion="8" minRefreshableVersion="3" recordCount="30" xr:uid="{09501E46-2085-4475-846B-9327CED087BB}">
  <cacheSource type="worksheet">
    <worksheetSource ref="A1:L31" sheet="Cleaned Data"/>
  </cacheSource>
  <cacheFields count="12">
    <cacheField name="CloudUsageHours" numFmtId="0">
      <sharedItems containsSemiMixedTypes="0" containsString="0" containsNumber="1" containsInteger="1" minValue="85" maxValue="150"/>
    </cacheField>
    <cacheField name="SatisfactionScore" numFmtId="0">
      <sharedItems containsSemiMixedTypes="0" containsString="0" containsNumber="1" minValue="3.5" maxValue="4.9000000000000004"/>
    </cacheField>
    <cacheField name="MonthlySpendingUSD" numFmtId="0">
      <sharedItems containsSemiMixedTypes="0" containsString="0" containsNumber="1" containsInteger="1" minValue="1600" maxValue="2300" count="15">
        <n v="2000"/>
        <n v="1800"/>
        <n v="1850"/>
        <n v="2100"/>
        <n v="1750"/>
        <n v="1900"/>
        <n v="2050"/>
        <n v="1700"/>
        <n v="1650"/>
        <n v="2200"/>
        <n v="2150"/>
        <n v="2300"/>
        <n v="1950"/>
        <n v="2250"/>
        <n v="1600"/>
      </sharedItems>
    </cacheField>
    <cacheField name="SupportRequests" numFmtId="0">
      <sharedItems containsSemiMixedTypes="0" containsString="0" containsNumber="1" containsInteger="1" minValue="1" maxValue="6"/>
    </cacheField>
    <cacheField name="UpgradesRequested" numFmtId="0">
      <sharedItems containsSemiMixedTypes="0" containsString="0" containsNumber="1" containsInteger="1" minValue="0" maxValue="4"/>
    </cacheField>
    <cacheField name="ContractLengthMonths" numFmtId="0">
      <sharedItems containsSemiMixedTypes="0" containsString="0" containsNumber="1" containsInteger="1" minValue="6" maxValue="24" count="7">
        <n v="12"/>
        <n v="6"/>
        <n v="24"/>
        <n v="9"/>
        <n v="15"/>
        <n v="18"/>
        <n v="21"/>
      </sharedItems>
    </cacheField>
    <cacheField name="ActiveProjects" numFmtId="0">
      <sharedItems containsSemiMixedTypes="0" containsString="0" containsNumber="1" containsInteger="1" minValue="2" maxValue="8"/>
    </cacheField>
    <cacheField name="DataStorageUsedGB" numFmtId="0">
      <sharedItems containsSemiMixedTypes="0" containsString="0" containsNumber="1" containsInteger="1" minValue="280" maxValue="700"/>
    </cacheField>
    <cacheField name="ComplaintsFiled" numFmtId="0">
      <sharedItems containsSemiMixedTypes="0" containsString="0" containsNumber="1" containsInteger="1" minValue="0" maxValue="5"/>
    </cacheField>
    <cacheField name="SecurityIncidentsReported" numFmtId="0">
      <sharedItems containsSemiMixedTypes="0" containsString="0" containsNumber="1" containsInteger="1" minValue="0" maxValue="1"/>
    </cacheField>
    <cacheField name="TrainingHoursCompleted" numFmtId="0">
      <sharedItems containsSemiMixedTypes="0" containsString="0" containsNumber="1" containsInteger="1" minValue="5" maxValue="18"/>
    </cacheField>
    <cacheField name="RenewalProbability" numFmtId="0">
      <sharedItems containsSemiMixedTypes="0" containsString="0" containsNumber="1" minValue="0.45" maxValue="0.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rry" refreshedDate="45816.905691550928" createdVersion="8" refreshedVersion="8" minRefreshableVersion="3" recordCount="29" xr:uid="{B65C064D-ED17-45E7-8D69-55B091466004}">
  <cacheSource type="worksheet">
    <worksheetSource ref="A1:L30" sheet="Cleaned Data"/>
  </cacheSource>
  <cacheFields count="12">
    <cacheField name="CloudUsageHours" numFmtId="0">
      <sharedItems containsSemiMixedTypes="0" containsString="0" containsNumber="1" containsInteger="1" minValue="85" maxValue="150"/>
    </cacheField>
    <cacheField name="SatisfactionScore" numFmtId="0">
      <sharedItems containsSemiMixedTypes="0" containsString="0" containsNumber="1" minValue="3.5" maxValue="4.9000000000000004"/>
    </cacheField>
    <cacheField name="MonthlySpendingUSD" numFmtId="0">
      <sharedItems containsSemiMixedTypes="0" containsString="0" containsNumber="1" containsInteger="1" minValue="1600" maxValue="2300"/>
    </cacheField>
    <cacheField name="SupportRequests" numFmtId="0">
      <sharedItems containsSemiMixedTypes="0" containsString="0" containsNumber="1" containsInteger="1" minValue="1" maxValue="6"/>
    </cacheField>
    <cacheField name="UpgradesRequested" numFmtId="0">
      <sharedItems containsSemiMixedTypes="0" containsString="0" containsNumber="1" containsInteger="1" minValue="0" maxValue="4"/>
    </cacheField>
    <cacheField name="ContractLengthMonths" numFmtId="0">
      <sharedItems containsSemiMixedTypes="0" containsString="0" containsNumber="1" containsInteger="1" minValue="6" maxValue="24" count="7">
        <n v="12"/>
        <n v="6"/>
        <n v="24"/>
        <n v="9"/>
        <n v="15"/>
        <n v="18"/>
        <n v="21"/>
      </sharedItems>
    </cacheField>
    <cacheField name="ActiveProjects" numFmtId="0">
      <sharedItems containsSemiMixedTypes="0" containsString="0" containsNumber="1" containsInteger="1" minValue="2" maxValue="8"/>
    </cacheField>
    <cacheField name="DataStorageUsedGB" numFmtId="0">
      <sharedItems containsSemiMixedTypes="0" containsString="0" containsNumber="1" containsInteger="1" minValue="280" maxValue="700"/>
    </cacheField>
    <cacheField name="ComplaintsFiled" numFmtId="0">
      <sharedItems containsSemiMixedTypes="0" containsString="0" containsNumber="1" containsInteger="1" minValue="0" maxValue="5"/>
    </cacheField>
    <cacheField name="SecurityIncidentsReported" numFmtId="0">
      <sharedItems containsSemiMixedTypes="0" containsString="0" containsNumber="1" containsInteger="1" minValue="0" maxValue="1"/>
    </cacheField>
    <cacheField name="TrainingHoursCompleted" numFmtId="0">
      <sharedItems containsSemiMixedTypes="0" containsString="0" containsNumber="1" containsInteger="1" minValue="5" maxValue="18" count="14">
        <n v="10"/>
        <n v="8"/>
        <n v="15"/>
        <n v="7"/>
        <n v="9"/>
        <n v="13"/>
        <n v="6"/>
        <n v="16"/>
        <n v="14"/>
        <n v="18"/>
        <n v="12"/>
        <n v="17"/>
        <n v="11"/>
        <n v="5"/>
      </sharedItems>
    </cacheField>
    <cacheField name="RenewalProbability" numFmtId="0">
      <sharedItems containsSemiMixedTypes="0" containsString="0" containsNumber="1" minValue="0.45" maxValue="0.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rry" refreshedDate="45832.933810532406" createdVersion="8" refreshedVersion="8" minRefreshableVersion="3" recordCount="29" xr:uid="{F0CA7AC4-AEE8-4055-B4B1-EF29077F98BA}">
  <cacheSource type="worksheet">
    <worksheetSource ref="K1:L30" sheet="Cleaned Data"/>
  </cacheSource>
  <cacheFields count="2">
    <cacheField name="TrainingHoursCompleted" numFmtId="0">
      <sharedItems containsSemiMixedTypes="0" containsString="0" containsNumber="1" containsInteger="1" minValue="5" maxValue="18" count="14">
        <n v="10"/>
        <n v="8"/>
        <n v="15"/>
        <n v="7"/>
        <n v="9"/>
        <n v="13"/>
        <n v="6"/>
        <n v="16"/>
        <n v="14"/>
        <n v="18"/>
        <n v="12"/>
        <n v="17"/>
        <n v="11"/>
        <n v="5"/>
      </sharedItems>
    </cacheField>
    <cacheField name="RenewalProbability" numFmtId="0">
      <sharedItems containsSemiMixedTypes="0" containsString="0" containsNumber="1" minValue="0.45" maxValue="0.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rry" refreshedDate="45833.029640624998" createdVersion="8" refreshedVersion="8" minRefreshableVersion="3" recordCount="29" xr:uid="{1F3ED7CF-7C86-498A-8A0E-6F9F85322424}">
  <cacheSource type="worksheet">
    <worksheetSource ref="A1:B30" sheet="Cleaned Data"/>
  </cacheSource>
  <cacheFields count="2">
    <cacheField name="CloudUsageHours" numFmtId="0">
      <sharedItems containsSemiMixedTypes="0" containsString="0" containsNumber="1" containsInteger="1" minValue="85" maxValue="150" count="14">
        <n v="120"/>
        <n v="95"/>
        <n v="105"/>
        <n v="130"/>
        <n v="100"/>
        <n v="110"/>
        <n v="125"/>
        <n v="90"/>
        <n v="85"/>
        <n v="140"/>
        <n v="135"/>
        <n v="150"/>
        <n v="115"/>
        <n v="145"/>
      </sharedItems>
    </cacheField>
    <cacheField name="SatisfactionScore" numFmtId="0">
      <sharedItems containsSemiMixedTypes="0" containsString="0" containsNumber="1" minValue="3.5" maxValue="4.90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20"/>
    <n v="4.5"/>
    <x v="0"/>
    <n v="2"/>
    <n v="1"/>
    <x v="0"/>
    <n v="5"/>
    <n v="500"/>
    <n v="0"/>
    <n v="1"/>
    <n v="10"/>
    <n v="0.85"/>
  </r>
  <r>
    <n v="95"/>
    <n v="3.8"/>
    <x v="1"/>
    <n v="3"/>
    <n v="0"/>
    <x v="1"/>
    <n v="3"/>
    <n v="300"/>
    <n v="2"/>
    <n v="0"/>
    <n v="8"/>
    <n v="0.6"/>
  </r>
  <r>
    <n v="105"/>
    <n v="4"/>
    <x v="2"/>
    <n v="3"/>
    <n v="1"/>
    <x v="0"/>
    <n v="4"/>
    <n v="400"/>
    <n v="1"/>
    <n v="0"/>
    <n v="10"/>
    <n v="0.7"/>
  </r>
  <r>
    <n v="130"/>
    <n v="4.7"/>
    <x v="3"/>
    <n v="2"/>
    <n v="3"/>
    <x v="2"/>
    <n v="6"/>
    <n v="600"/>
    <n v="0"/>
    <n v="0"/>
    <n v="15"/>
    <n v="0.92"/>
  </r>
  <r>
    <n v="100"/>
    <n v="3.9"/>
    <x v="4"/>
    <n v="4"/>
    <n v="0"/>
    <x v="3"/>
    <n v="3"/>
    <n v="350"/>
    <n v="3"/>
    <n v="1"/>
    <n v="7"/>
    <n v="0.55000000000000004"/>
  </r>
  <r>
    <n v="105"/>
    <n v="4"/>
    <x v="2"/>
    <n v="3"/>
    <n v="1"/>
    <x v="0"/>
    <n v="4"/>
    <n v="410"/>
    <n v="1"/>
    <n v="0"/>
    <n v="9"/>
    <n v="0.7"/>
  </r>
  <r>
    <n v="110"/>
    <n v="4.2"/>
    <x v="5"/>
    <n v="3"/>
    <n v="2"/>
    <x v="4"/>
    <n v="4"/>
    <n v="460"/>
    <n v="1"/>
    <n v="0"/>
    <n v="10"/>
    <n v="0.75"/>
  </r>
  <r>
    <n v="125"/>
    <n v="4.3"/>
    <x v="6"/>
    <n v="1"/>
    <n v="1"/>
    <x v="5"/>
    <n v="6"/>
    <n v="550"/>
    <n v="1"/>
    <n v="0"/>
    <n v="13"/>
    <n v="0.88"/>
  </r>
  <r>
    <n v="90"/>
    <n v="3.7"/>
    <x v="7"/>
    <n v="5"/>
    <n v="0"/>
    <x v="1"/>
    <n v="2"/>
    <n v="300"/>
    <n v="4"/>
    <n v="1"/>
    <n v="6"/>
    <n v="0.5"/>
  </r>
  <r>
    <n v="85"/>
    <n v="3.6"/>
    <x v="8"/>
    <n v="4"/>
    <n v="1"/>
    <x v="3"/>
    <n v="3"/>
    <n v="320"/>
    <n v="2"/>
    <n v="0"/>
    <n v="8"/>
    <n v="0.56999999999999995"/>
  </r>
  <r>
    <n v="140"/>
    <n v="4.8"/>
    <x v="9"/>
    <n v="2"/>
    <n v="2"/>
    <x v="2"/>
    <n v="7"/>
    <n v="650"/>
    <n v="0"/>
    <n v="0"/>
    <n v="16"/>
    <n v="0.95"/>
  </r>
  <r>
    <n v="100"/>
    <n v="3.9"/>
    <x v="4"/>
    <n v="4"/>
    <n v="0"/>
    <x v="0"/>
    <n v="4"/>
    <n v="400"/>
    <n v="3"/>
    <n v="1"/>
    <n v="7"/>
    <n v="0.6"/>
  </r>
  <r>
    <n v="135"/>
    <n v="4.5999999999999996"/>
    <x v="10"/>
    <n v="1"/>
    <n v="3"/>
    <x v="5"/>
    <n v="6"/>
    <n v="580"/>
    <n v="0"/>
    <n v="0"/>
    <n v="14"/>
    <n v="0.9"/>
  </r>
  <r>
    <n v="150"/>
    <n v="4.9000000000000004"/>
    <x v="11"/>
    <n v="1"/>
    <n v="4"/>
    <x v="2"/>
    <n v="8"/>
    <n v="700"/>
    <n v="0"/>
    <n v="0"/>
    <n v="18"/>
    <n v="0.97"/>
  </r>
  <r>
    <n v="95"/>
    <n v="3.8"/>
    <x v="1"/>
    <n v="5"/>
    <n v="1"/>
    <x v="3"/>
    <n v="3"/>
    <n v="360"/>
    <n v="3"/>
    <n v="1"/>
    <n v="6"/>
    <n v="0.53"/>
  </r>
  <r>
    <n v="125"/>
    <n v="4.4000000000000004"/>
    <x v="6"/>
    <n v="2"/>
    <n v="1"/>
    <x v="5"/>
    <n v="5"/>
    <n v="520"/>
    <n v="0"/>
    <n v="0"/>
    <n v="12"/>
    <n v="0.85"/>
  </r>
  <r>
    <n v="115"/>
    <n v="4.0999999999999996"/>
    <x v="12"/>
    <n v="2"/>
    <n v="3"/>
    <x v="4"/>
    <n v="5"/>
    <n v="430"/>
    <n v="1"/>
    <n v="0"/>
    <n v="10"/>
    <n v="0.75"/>
  </r>
  <r>
    <n v="145"/>
    <n v="4.7"/>
    <x v="13"/>
    <n v="1"/>
    <n v="3"/>
    <x v="2"/>
    <n v="7"/>
    <n v="620"/>
    <n v="0"/>
    <n v="0"/>
    <n v="17"/>
    <n v="0.9"/>
  </r>
  <r>
    <n v="120"/>
    <n v="4.3"/>
    <x v="0"/>
    <n v="2"/>
    <n v="1"/>
    <x v="5"/>
    <n v="5"/>
    <n v="510"/>
    <n v="0"/>
    <n v="0"/>
    <n v="11"/>
    <n v="0.8"/>
  </r>
  <r>
    <n v="130"/>
    <n v="4.5"/>
    <x v="3"/>
    <n v="3"/>
    <n v="2"/>
    <x v="6"/>
    <n v="6"/>
    <n v="570"/>
    <n v="0"/>
    <n v="0"/>
    <n v="13"/>
    <n v="0.85"/>
  </r>
  <r>
    <n v="85"/>
    <n v="3.5"/>
    <x v="14"/>
    <n v="6"/>
    <n v="0"/>
    <x v="1"/>
    <n v="2"/>
    <n v="280"/>
    <n v="5"/>
    <n v="1"/>
    <n v="5"/>
    <n v="0.45"/>
  </r>
  <r>
    <n v="90"/>
    <n v="3.6"/>
    <x v="7"/>
    <n v="5"/>
    <n v="1"/>
    <x v="3"/>
    <n v="3"/>
    <n v="310"/>
    <n v="3"/>
    <n v="0"/>
    <n v="7"/>
    <n v="0.5"/>
  </r>
  <r>
    <n v="100"/>
    <n v="3.9"/>
    <x v="1"/>
    <n v="4"/>
    <n v="2"/>
    <x v="0"/>
    <n v="4"/>
    <n v="370"/>
    <n v="2"/>
    <n v="0"/>
    <n v="8"/>
    <n v="0.65"/>
  </r>
  <r>
    <n v="110"/>
    <n v="4.2"/>
    <x v="5"/>
    <n v="1"/>
    <n v="2"/>
    <x v="5"/>
    <n v="4"/>
    <n v="450"/>
    <n v="1"/>
    <n v="0"/>
    <n v="12"/>
    <n v="0.78"/>
  </r>
  <r>
    <n v="140"/>
    <n v="4.5999999999999996"/>
    <x v="9"/>
    <n v="1"/>
    <n v="4"/>
    <x v="2"/>
    <n v="7"/>
    <n v="600"/>
    <n v="0"/>
    <n v="0"/>
    <n v="15"/>
    <n v="0.9"/>
  </r>
  <r>
    <n v="135"/>
    <n v="4.7"/>
    <x v="10"/>
    <n v="1"/>
    <n v="3"/>
    <x v="6"/>
    <n v="6"/>
    <n v="580"/>
    <n v="0"/>
    <n v="0"/>
    <n v="14"/>
    <n v="0.88"/>
  </r>
  <r>
    <n v="115"/>
    <n v="4.0999999999999996"/>
    <x v="12"/>
    <n v="2"/>
    <n v="2"/>
    <x v="4"/>
    <n v="5"/>
    <n v="450"/>
    <n v="0"/>
    <n v="0"/>
    <n v="9"/>
    <n v="0.8"/>
  </r>
  <r>
    <n v="150"/>
    <n v="4.8"/>
    <x v="11"/>
    <n v="1"/>
    <n v="4"/>
    <x v="2"/>
    <n v="7"/>
    <n v="620"/>
    <n v="0"/>
    <n v="0"/>
    <n v="16"/>
    <n v="0.92"/>
  </r>
  <r>
    <n v="125"/>
    <n v="4.2"/>
    <x v="6"/>
    <n v="2"/>
    <n v="2"/>
    <x v="5"/>
    <n v="5"/>
    <n v="500"/>
    <n v="1"/>
    <n v="0"/>
    <n v="12"/>
    <n v="0.8"/>
  </r>
  <r>
    <n v="100"/>
    <n v="3.9"/>
    <x v="1"/>
    <n v="4"/>
    <n v="2"/>
    <x v="3"/>
    <n v="3"/>
    <n v="380"/>
    <n v="2"/>
    <n v="0"/>
    <n v="8"/>
    <n v="0.6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120"/>
    <n v="4.5"/>
    <n v="2000"/>
    <n v="2"/>
    <n v="1"/>
    <x v="0"/>
    <n v="5"/>
    <n v="500"/>
    <n v="0"/>
    <n v="1"/>
    <x v="0"/>
    <n v="0.85"/>
  </r>
  <r>
    <n v="95"/>
    <n v="3.8"/>
    <n v="1800"/>
    <n v="3"/>
    <n v="0"/>
    <x v="1"/>
    <n v="3"/>
    <n v="300"/>
    <n v="2"/>
    <n v="0"/>
    <x v="1"/>
    <n v="0.6"/>
  </r>
  <r>
    <n v="105"/>
    <n v="4"/>
    <n v="1850"/>
    <n v="3"/>
    <n v="1"/>
    <x v="0"/>
    <n v="4"/>
    <n v="400"/>
    <n v="1"/>
    <n v="0"/>
    <x v="0"/>
    <n v="0.7"/>
  </r>
  <r>
    <n v="130"/>
    <n v="4.7"/>
    <n v="2100"/>
    <n v="2"/>
    <n v="3"/>
    <x v="2"/>
    <n v="6"/>
    <n v="600"/>
    <n v="0"/>
    <n v="0"/>
    <x v="2"/>
    <n v="0.92"/>
  </r>
  <r>
    <n v="100"/>
    <n v="3.9"/>
    <n v="1750"/>
    <n v="4"/>
    <n v="0"/>
    <x v="3"/>
    <n v="3"/>
    <n v="350"/>
    <n v="3"/>
    <n v="1"/>
    <x v="3"/>
    <n v="0.55000000000000004"/>
  </r>
  <r>
    <n v="105"/>
    <n v="4"/>
    <n v="1850"/>
    <n v="3"/>
    <n v="1"/>
    <x v="0"/>
    <n v="4"/>
    <n v="410"/>
    <n v="1"/>
    <n v="0"/>
    <x v="4"/>
    <n v="0.7"/>
  </r>
  <r>
    <n v="110"/>
    <n v="4.2"/>
    <n v="1900"/>
    <n v="3"/>
    <n v="2"/>
    <x v="4"/>
    <n v="4"/>
    <n v="460"/>
    <n v="1"/>
    <n v="0"/>
    <x v="0"/>
    <n v="0.75"/>
  </r>
  <r>
    <n v="125"/>
    <n v="4.3"/>
    <n v="2050"/>
    <n v="1"/>
    <n v="1"/>
    <x v="5"/>
    <n v="6"/>
    <n v="550"/>
    <n v="1"/>
    <n v="0"/>
    <x v="5"/>
    <n v="0.88"/>
  </r>
  <r>
    <n v="90"/>
    <n v="3.7"/>
    <n v="1700"/>
    <n v="5"/>
    <n v="0"/>
    <x v="1"/>
    <n v="2"/>
    <n v="300"/>
    <n v="4"/>
    <n v="1"/>
    <x v="6"/>
    <n v="0.5"/>
  </r>
  <r>
    <n v="85"/>
    <n v="3.6"/>
    <n v="1650"/>
    <n v="4"/>
    <n v="1"/>
    <x v="3"/>
    <n v="3"/>
    <n v="320"/>
    <n v="2"/>
    <n v="0"/>
    <x v="1"/>
    <n v="0.56999999999999995"/>
  </r>
  <r>
    <n v="140"/>
    <n v="4.8"/>
    <n v="2200"/>
    <n v="2"/>
    <n v="2"/>
    <x v="2"/>
    <n v="7"/>
    <n v="650"/>
    <n v="0"/>
    <n v="0"/>
    <x v="7"/>
    <n v="0.95"/>
  </r>
  <r>
    <n v="100"/>
    <n v="3.9"/>
    <n v="1750"/>
    <n v="4"/>
    <n v="0"/>
    <x v="0"/>
    <n v="4"/>
    <n v="400"/>
    <n v="3"/>
    <n v="1"/>
    <x v="3"/>
    <n v="0.6"/>
  </r>
  <r>
    <n v="135"/>
    <n v="4.5999999999999996"/>
    <n v="2150"/>
    <n v="1"/>
    <n v="3"/>
    <x v="5"/>
    <n v="6"/>
    <n v="580"/>
    <n v="0"/>
    <n v="0"/>
    <x v="8"/>
    <n v="0.9"/>
  </r>
  <r>
    <n v="150"/>
    <n v="4.9000000000000004"/>
    <n v="2300"/>
    <n v="1"/>
    <n v="4"/>
    <x v="2"/>
    <n v="8"/>
    <n v="700"/>
    <n v="0"/>
    <n v="0"/>
    <x v="9"/>
    <n v="0.97"/>
  </r>
  <r>
    <n v="95"/>
    <n v="3.8"/>
    <n v="1800"/>
    <n v="5"/>
    <n v="1"/>
    <x v="3"/>
    <n v="3"/>
    <n v="360"/>
    <n v="3"/>
    <n v="1"/>
    <x v="6"/>
    <n v="0.53"/>
  </r>
  <r>
    <n v="125"/>
    <n v="4.4000000000000004"/>
    <n v="2050"/>
    <n v="2"/>
    <n v="1"/>
    <x v="5"/>
    <n v="5"/>
    <n v="520"/>
    <n v="0"/>
    <n v="0"/>
    <x v="10"/>
    <n v="0.85"/>
  </r>
  <r>
    <n v="115"/>
    <n v="4.0999999999999996"/>
    <n v="1950"/>
    <n v="2"/>
    <n v="3"/>
    <x v="4"/>
    <n v="5"/>
    <n v="430"/>
    <n v="1"/>
    <n v="0"/>
    <x v="0"/>
    <n v="0.75"/>
  </r>
  <r>
    <n v="145"/>
    <n v="4.7"/>
    <n v="2250"/>
    <n v="1"/>
    <n v="3"/>
    <x v="2"/>
    <n v="7"/>
    <n v="620"/>
    <n v="0"/>
    <n v="0"/>
    <x v="11"/>
    <n v="0.9"/>
  </r>
  <r>
    <n v="120"/>
    <n v="4.3"/>
    <n v="2000"/>
    <n v="2"/>
    <n v="1"/>
    <x v="5"/>
    <n v="5"/>
    <n v="510"/>
    <n v="0"/>
    <n v="0"/>
    <x v="12"/>
    <n v="0.8"/>
  </r>
  <r>
    <n v="130"/>
    <n v="4.5"/>
    <n v="2100"/>
    <n v="3"/>
    <n v="2"/>
    <x v="6"/>
    <n v="6"/>
    <n v="570"/>
    <n v="0"/>
    <n v="0"/>
    <x v="5"/>
    <n v="0.85"/>
  </r>
  <r>
    <n v="85"/>
    <n v="3.5"/>
    <n v="1600"/>
    <n v="6"/>
    <n v="0"/>
    <x v="1"/>
    <n v="2"/>
    <n v="280"/>
    <n v="5"/>
    <n v="1"/>
    <x v="13"/>
    <n v="0.45"/>
  </r>
  <r>
    <n v="90"/>
    <n v="3.6"/>
    <n v="1700"/>
    <n v="5"/>
    <n v="1"/>
    <x v="3"/>
    <n v="3"/>
    <n v="310"/>
    <n v="3"/>
    <n v="0"/>
    <x v="3"/>
    <n v="0.5"/>
  </r>
  <r>
    <n v="100"/>
    <n v="3.9"/>
    <n v="1800"/>
    <n v="4"/>
    <n v="2"/>
    <x v="0"/>
    <n v="4"/>
    <n v="370"/>
    <n v="2"/>
    <n v="0"/>
    <x v="1"/>
    <n v="0.65"/>
  </r>
  <r>
    <n v="110"/>
    <n v="4.2"/>
    <n v="1900"/>
    <n v="1"/>
    <n v="2"/>
    <x v="5"/>
    <n v="4"/>
    <n v="450"/>
    <n v="1"/>
    <n v="0"/>
    <x v="10"/>
    <n v="0.78"/>
  </r>
  <r>
    <n v="140"/>
    <n v="4.5999999999999996"/>
    <n v="2200"/>
    <n v="1"/>
    <n v="4"/>
    <x v="2"/>
    <n v="7"/>
    <n v="600"/>
    <n v="0"/>
    <n v="0"/>
    <x v="2"/>
    <n v="0.9"/>
  </r>
  <r>
    <n v="135"/>
    <n v="4.7"/>
    <n v="2150"/>
    <n v="1"/>
    <n v="3"/>
    <x v="6"/>
    <n v="6"/>
    <n v="580"/>
    <n v="0"/>
    <n v="0"/>
    <x v="8"/>
    <n v="0.88"/>
  </r>
  <r>
    <n v="115"/>
    <n v="4.0999999999999996"/>
    <n v="1950"/>
    <n v="2"/>
    <n v="2"/>
    <x v="4"/>
    <n v="5"/>
    <n v="450"/>
    <n v="0"/>
    <n v="0"/>
    <x v="4"/>
    <n v="0.8"/>
  </r>
  <r>
    <n v="150"/>
    <n v="4.8"/>
    <n v="2300"/>
    <n v="1"/>
    <n v="4"/>
    <x v="2"/>
    <n v="7"/>
    <n v="620"/>
    <n v="0"/>
    <n v="0"/>
    <x v="7"/>
    <n v="0.92"/>
  </r>
  <r>
    <n v="125"/>
    <n v="4.2"/>
    <n v="2050"/>
    <n v="2"/>
    <n v="2"/>
    <x v="5"/>
    <n v="5"/>
    <n v="500"/>
    <n v="1"/>
    <n v="0"/>
    <x v="10"/>
    <n v="0.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0.85"/>
  </r>
  <r>
    <x v="1"/>
    <n v="0.6"/>
  </r>
  <r>
    <x v="0"/>
    <n v="0.7"/>
  </r>
  <r>
    <x v="2"/>
    <n v="0.92"/>
  </r>
  <r>
    <x v="3"/>
    <n v="0.55000000000000004"/>
  </r>
  <r>
    <x v="4"/>
    <n v="0.7"/>
  </r>
  <r>
    <x v="0"/>
    <n v="0.75"/>
  </r>
  <r>
    <x v="5"/>
    <n v="0.88"/>
  </r>
  <r>
    <x v="6"/>
    <n v="0.5"/>
  </r>
  <r>
    <x v="1"/>
    <n v="0.56999999999999995"/>
  </r>
  <r>
    <x v="7"/>
    <n v="0.95"/>
  </r>
  <r>
    <x v="3"/>
    <n v="0.6"/>
  </r>
  <r>
    <x v="8"/>
    <n v="0.9"/>
  </r>
  <r>
    <x v="9"/>
    <n v="0.97"/>
  </r>
  <r>
    <x v="6"/>
    <n v="0.53"/>
  </r>
  <r>
    <x v="10"/>
    <n v="0.85"/>
  </r>
  <r>
    <x v="0"/>
    <n v="0.75"/>
  </r>
  <r>
    <x v="11"/>
    <n v="0.9"/>
  </r>
  <r>
    <x v="12"/>
    <n v="0.8"/>
  </r>
  <r>
    <x v="5"/>
    <n v="0.85"/>
  </r>
  <r>
    <x v="13"/>
    <n v="0.45"/>
  </r>
  <r>
    <x v="3"/>
    <n v="0.5"/>
  </r>
  <r>
    <x v="1"/>
    <n v="0.65"/>
  </r>
  <r>
    <x v="10"/>
    <n v="0.78"/>
  </r>
  <r>
    <x v="2"/>
    <n v="0.9"/>
  </r>
  <r>
    <x v="8"/>
    <n v="0.88"/>
  </r>
  <r>
    <x v="4"/>
    <n v="0.8"/>
  </r>
  <r>
    <x v="7"/>
    <n v="0.92"/>
  </r>
  <r>
    <x v="10"/>
    <n v="0.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4.5"/>
  </r>
  <r>
    <x v="1"/>
    <n v="3.8"/>
  </r>
  <r>
    <x v="2"/>
    <n v="4"/>
  </r>
  <r>
    <x v="3"/>
    <n v="4.7"/>
  </r>
  <r>
    <x v="4"/>
    <n v="3.9"/>
  </r>
  <r>
    <x v="2"/>
    <n v="4"/>
  </r>
  <r>
    <x v="5"/>
    <n v="4.2"/>
  </r>
  <r>
    <x v="6"/>
    <n v="4.3"/>
  </r>
  <r>
    <x v="7"/>
    <n v="3.7"/>
  </r>
  <r>
    <x v="8"/>
    <n v="3.6"/>
  </r>
  <r>
    <x v="9"/>
    <n v="4.8"/>
  </r>
  <r>
    <x v="4"/>
    <n v="3.9"/>
  </r>
  <r>
    <x v="10"/>
    <n v="4.5999999999999996"/>
  </r>
  <r>
    <x v="11"/>
    <n v="4.9000000000000004"/>
  </r>
  <r>
    <x v="1"/>
    <n v="3.8"/>
  </r>
  <r>
    <x v="6"/>
    <n v="4.4000000000000004"/>
  </r>
  <r>
    <x v="12"/>
    <n v="4.0999999999999996"/>
  </r>
  <r>
    <x v="13"/>
    <n v="4.7"/>
  </r>
  <r>
    <x v="0"/>
    <n v="4.3"/>
  </r>
  <r>
    <x v="3"/>
    <n v="4.5"/>
  </r>
  <r>
    <x v="8"/>
    <n v="3.5"/>
  </r>
  <r>
    <x v="7"/>
    <n v="3.6"/>
  </r>
  <r>
    <x v="4"/>
    <n v="3.9"/>
  </r>
  <r>
    <x v="5"/>
    <n v="4.2"/>
  </r>
  <r>
    <x v="9"/>
    <n v="4.5999999999999996"/>
  </r>
  <r>
    <x v="10"/>
    <n v="4.7"/>
  </r>
  <r>
    <x v="12"/>
    <n v="4.0999999999999996"/>
  </r>
  <r>
    <x v="11"/>
    <n v="4.8"/>
  </r>
  <r>
    <x v="6"/>
    <n v="4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1F361-5A14-4D35-B050-145E8A047D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1" firstHeaderRow="1" firstDataRow="1" firstDataCol="1"/>
  <pivotFields count="12">
    <pivotField showAll="0"/>
    <pivotField dataField="1" showAll="0"/>
    <pivotField showAll="0"/>
    <pivotField showAll="0"/>
    <pivotField showAll="0"/>
    <pivotField axis="axisRow" showAll="0">
      <items count="8">
        <item x="1"/>
        <item x="3"/>
        <item x="0"/>
        <item x="4"/>
        <item x="5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Satisfaction Score by Contract Length" fld="1" subtotal="average" baseField="5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38330-3C81-4BEA-AA43-41A958F74A5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9" firstHeaderRow="1" firstDataRow="1" firstDataCol="1"/>
  <pivotFields count="12">
    <pivotField showAll="0"/>
    <pivotField showAll="0"/>
    <pivotField axis="axisRow" showAll="0">
      <items count="16">
        <item x="14"/>
        <item x="8"/>
        <item x="7"/>
        <item x="4"/>
        <item x="1"/>
        <item x="2"/>
        <item x="5"/>
        <item x="12"/>
        <item x="0"/>
        <item x="6"/>
        <item x="3"/>
        <item x="10"/>
        <item x="9"/>
        <item x="13"/>
        <item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upportRequests" fld="3" baseField="0" baseItem="0"/>
  </dataField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D5C1E-F5BC-42BA-AABA-FB613C2F192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9" firstHeaderRow="1" firstDataRow="1" firstDataCol="1"/>
  <pivotFields count="12">
    <pivotField showAll="0"/>
    <pivotField showAll="0"/>
    <pivotField showAll="0"/>
    <pivotField showAll="0"/>
    <pivotField dataField="1" showAll="0"/>
    <pivotField axis="axisRow" showAll="0">
      <items count="8">
        <item x="1"/>
        <item x="3"/>
        <item x="0"/>
        <item x="4"/>
        <item x="5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pgradesRequested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ACA21-B0CD-45F8-9459-9F4E4D896E27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16" firstHeaderRow="1" firstDataRow="1" firstDataCol="1"/>
  <pivotFields count="2">
    <pivotField axis="axisRow" showAll="0">
      <items count="15">
        <item x="13"/>
        <item x="6"/>
        <item x="3"/>
        <item x="1"/>
        <item x="4"/>
        <item x="0"/>
        <item x="12"/>
        <item x="10"/>
        <item x="5"/>
        <item x="8"/>
        <item x="2"/>
        <item x="7"/>
        <item x="11"/>
        <item x="9"/>
        <item t="default"/>
      </items>
    </pivotField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Max of RenewalProbability" fld="1" subtotal="max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96590-36DC-456B-9D01-A07C8AAB88E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B16" firstHeaderRow="1" firstDataRow="1" firstDataCol="1"/>
  <pivotFields count="2">
    <pivotField axis="axisRow" showAll="0">
      <items count="15">
        <item x="8"/>
        <item x="7"/>
        <item x="1"/>
        <item x="4"/>
        <item x="2"/>
        <item x="5"/>
        <item x="12"/>
        <item x="0"/>
        <item x="6"/>
        <item x="3"/>
        <item x="10"/>
        <item x="9"/>
        <item x="13"/>
        <item x="11"/>
        <item t="default"/>
      </items>
    </pivotField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atisfactionScor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3D328B-11B2-4F8B-957C-0034E30ABF95}" name="Table5" displayName="Table5" ref="A1:B5" totalsRowShown="0" dataDxfId="2">
  <autoFilter ref="A1:B5" xr:uid="{9F3D328B-11B2-4F8B-957C-0034E30ABF95}"/>
  <tableColumns count="2">
    <tableColumn id="1" xr3:uid="{7C8ADB17-E932-4A9F-A905-74C42A4CB5CA}" name="Insight Category" dataDxfId="1"/>
    <tableColumn id="2" xr3:uid="{EAC0C964-2A53-4658-95CC-A61DE12D783E}" name="_x0009_Key Observ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BD6B-7A32-452B-91A3-941AC5378412}">
  <dimension ref="A3:B11"/>
  <sheetViews>
    <sheetView zoomScale="86" workbookViewId="0">
      <selection activeCell="I41" sqref="I41"/>
    </sheetView>
  </sheetViews>
  <sheetFormatPr defaultRowHeight="15" x14ac:dyDescent="0.25"/>
  <cols>
    <col min="1" max="1" width="13.42578125" bestFit="1" customWidth="1"/>
    <col min="2" max="2" width="42.28515625" customWidth="1"/>
  </cols>
  <sheetData>
    <row r="3" spans="1:2" x14ac:dyDescent="0.25">
      <c r="A3" s="3" t="s">
        <v>15</v>
      </c>
      <c r="B3" t="s">
        <v>17</v>
      </c>
    </row>
    <row r="4" spans="1:2" x14ac:dyDescent="0.25">
      <c r="A4" s="4">
        <v>6</v>
      </c>
      <c r="B4">
        <v>3.6666666666666665</v>
      </c>
    </row>
    <row r="5" spans="1:2" x14ac:dyDescent="0.25">
      <c r="A5" s="4">
        <v>9</v>
      </c>
      <c r="B5">
        <v>3.7600000000000002</v>
      </c>
    </row>
    <row r="6" spans="1:2" x14ac:dyDescent="0.25">
      <c r="A6" s="4">
        <v>12</v>
      </c>
      <c r="B6">
        <v>4.0599999999999996</v>
      </c>
    </row>
    <row r="7" spans="1:2" x14ac:dyDescent="0.25">
      <c r="A7" s="4">
        <v>15</v>
      </c>
      <c r="B7">
        <v>4.1333333333333337</v>
      </c>
    </row>
    <row r="8" spans="1:2" x14ac:dyDescent="0.25">
      <c r="A8" s="4">
        <v>18</v>
      </c>
      <c r="B8">
        <v>4.333333333333333</v>
      </c>
    </row>
    <row r="9" spans="1:2" x14ac:dyDescent="0.25">
      <c r="A9" s="4">
        <v>21</v>
      </c>
      <c r="B9">
        <v>4.5999999999999996</v>
      </c>
    </row>
    <row r="10" spans="1:2" x14ac:dyDescent="0.25">
      <c r="A10" s="4">
        <v>24</v>
      </c>
      <c r="B10">
        <v>4.7500000000000009</v>
      </c>
    </row>
    <row r="11" spans="1:2" x14ac:dyDescent="0.25">
      <c r="A11" s="4" t="s">
        <v>16</v>
      </c>
      <c r="B11">
        <v>4.206666666666667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D3C8-D60A-4770-B655-911BDD8F2C0D}">
  <dimension ref="A1"/>
  <sheetViews>
    <sheetView zoomScale="97" zoomScaleNormal="97" workbookViewId="0">
      <selection activeCell="H62" sqref="H62"/>
    </sheetView>
  </sheetViews>
  <sheetFormatPr defaultRowHeight="15" x14ac:dyDescent="0.25"/>
  <cols>
    <col min="1" max="1" width="8.42578125" customWidth="1"/>
    <col min="2" max="2" width="10.140625" customWidth="1"/>
  </cols>
  <sheetData/>
  <pageMargins left="0.7" right="0.7" top="0.75" bottom="0.75" header="0.3" footer="0.3"/>
  <pageSetup orientation="portrait" horizontalDpi="4294967295" verticalDpi="4294967295" r:id="rId1"/>
  <headerFooter>
    <oddHeader>&amp;C&amp;"Times New Roman,Bold"&amp;20Big Data Insights Dashboard – IBM Customer Dataset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C2D8-BD1A-4D60-B2BE-BBC88C30C640}">
  <dimension ref="A1:B5"/>
  <sheetViews>
    <sheetView workbookViewId="0">
      <selection activeCell="A2" sqref="A2:B5"/>
    </sheetView>
  </sheetViews>
  <sheetFormatPr defaultRowHeight="15" x14ac:dyDescent="0.25"/>
  <cols>
    <col min="1" max="1" width="28" customWidth="1"/>
    <col min="2" max="2" width="67.7109375" customWidth="1"/>
  </cols>
  <sheetData>
    <row r="1" spans="1:2" ht="15.75" x14ac:dyDescent="0.25">
      <c r="A1" s="7" t="s">
        <v>19</v>
      </c>
      <c r="B1" s="5" t="s">
        <v>29</v>
      </c>
    </row>
    <row r="2" spans="1:2" ht="15.75" x14ac:dyDescent="0.25">
      <c r="A2" s="6" t="s">
        <v>20</v>
      </c>
      <c r="B2" s="6" t="s">
        <v>21</v>
      </c>
    </row>
    <row r="3" spans="1:2" ht="15.75" x14ac:dyDescent="0.25">
      <c r="A3" s="6" t="s">
        <v>22</v>
      </c>
      <c r="B3" s="6" t="s">
        <v>23</v>
      </c>
    </row>
    <row r="4" spans="1:2" ht="15.75" x14ac:dyDescent="0.25">
      <c r="A4" s="6" t="s">
        <v>24</v>
      </c>
      <c r="B4" s="6" t="s">
        <v>25</v>
      </c>
    </row>
    <row r="5" spans="1:2" ht="15.75" x14ac:dyDescent="0.25">
      <c r="A5" s="6" t="s">
        <v>27</v>
      </c>
      <c r="B5" s="6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4CD1-0DE7-4233-948F-C6090FD076A0}">
  <dimension ref="A3:B19"/>
  <sheetViews>
    <sheetView workbookViewId="0">
      <selection activeCell="B13" sqref="B13"/>
    </sheetView>
  </sheetViews>
  <sheetFormatPr defaultRowHeight="15" x14ac:dyDescent="0.25"/>
  <cols>
    <col min="1" max="1" width="13.42578125" bestFit="1" customWidth="1"/>
    <col min="2" max="2" width="23.85546875" bestFit="1" customWidth="1"/>
  </cols>
  <sheetData>
    <row r="3" spans="1:2" x14ac:dyDescent="0.25">
      <c r="A3" s="3" t="s">
        <v>15</v>
      </c>
      <c r="B3" t="s">
        <v>18</v>
      </c>
    </row>
    <row r="4" spans="1:2" x14ac:dyDescent="0.25">
      <c r="A4" s="4">
        <v>1600</v>
      </c>
      <c r="B4">
        <v>6</v>
      </c>
    </row>
    <row r="5" spans="1:2" x14ac:dyDescent="0.25">
      <c r="A5" s="4">
        <v>1650</v>
      </c>
      <c r="B5">
        <v>4</v>
      </c>
    </row>
    <row r="6" spans="1:2" x14ac:dyDescent="0.25">
      <c r="A6" s="4">
        <v>1700</v>
      </c>
      <c r="B6">
        <v>10</v>
      </c>
    </row>
    <row r="7" spans="1:2" x14ac:dyDescent="0.25">
      <c r="A7" s="4">
        <v>1750</v>
      </c>
      <c r="B7">
        <v>8</v>
      </c>
    </row>
    <row r="8" spans="1:2" x14ac:dyDescent="0.25">
      <c r="A8" s="4">
        <v>1800</v>
      </c>
      <c r="B8">
        <v>16</v>
      </c>
    </row>
    <row r="9" spans="1:2" x14ac:dyDescent="0.25">
      <c r="A9" s="4">
        <v>1850</v>
      </c>
      <c r="B9">
        <v>6</v>
      </c>
    </row>
    <row r="10" spans="1:2" x14ac:dyDescent="0.25">
      <c r="A10" s="4">
        <v>1900</v>
      </c>
      <c r="B10">
        <v>4</v>
      </c>
    </row>
    <row r="11" spans="1:2" x14ac:dyDescent="0.25">
      <c r="A11" s="4">
        <v>1950</v>
      </c>
      <c r="B11">
        <v>4</v>
      </c>
    </row>
    <row r="12" spans="1:2" x14ac:dyDescent="0.25">
      <c r="A12" s="4">
        <v>2000</v>
      </c>
      <c r="B12">
        <v>4</v>
      </c>
    </row>
    <row r="13" spans="1:2" x14ac:dyDescent="0.25">
      <c r="A13" s="4">
        <v>2050</v>
      </c>
      <c r="B13">
        <v>5</v>
      </c>
    </row>
    <row r="14" spans="1:2" x14ac:dyDescent="0.25">
      <c r="A14" s="4">
        <v>2100</v>
      </c>
      <c r="B14">
        <v>5</v>
      </c>
    </row>
    <row r="15" spans="1:2" x14ac:dyDescent="0.25">
      <c r="A15" s="4">
        <v>2150</v>
      </c>
      <c r="B15">
        <v>2</v>
      </c>
    </row>
    <row r="16" spans="1:2" x14ac:dyDescent="0.25">
      <c r="A16" s="4">
        <v>2200</v>
      </c>
      <c r="B16">
        <v>3</v>
      </c>
    </row>
    <row r="17" spans="1:2" x14ac:dyDescent="0.25">
      <c r="A17" s="4">
        <v>2250</v>
      </c>
      <c r="B17">
        <v>1</v>
      </c>
    </row>
    <row r="18" spans="1:2" x14ac:dyDescent="0.25">
      <c r="A18" s="4">
        <v>2300</v>
      </c>
      <c r="B18">
        <v>2</v>
      </c>
    </row>
    <row r="19" spans="1:2" x14ac:dyDescent="0.25">
      <c r="A19" s="4" t="s">
        <v>16</v>
      </c>
      <c r="B19">
        <v>80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F607-3D8C-41FE-935B-929E5D031A9A}">
  <dimension ref="A1:B9"/>
  <sheetViews>
    <sheetView workbookViewId="0">
      <selection activeCell="P15" sqref="P15"/>
    </sheetView>
  </sheetViews>
  <sheetFormatPr defaultRowHeight="15" x14ac:dyDescent="0.25"/>
  <cols>
    <col min="1" max="1" width="13.42578125" bestFit="1" customWidth="1"/>
    <col min="2" max="2" width="26.5703125" bestFit="1" customWidth="1"/>
  </cols>
  <sheetData>
    <row r="1" spans="1:2" x14ac:dyDescent="0.25">
      <c r="A1" s="3" t="s">
        <v>15</v>
      </c>
      <c r="B1" t="s">
        <v>26</v>
      </c>
    </row>
    <row r="2" spans="1:2" x14ac:dyDescent="0.25">
      <c r="A2" s="4">
        <v>6</v>
      </c>
      <c r="B2">
        <v>0</v>
      </c>
    </row>
    <row r="3" spans="1:2" x14ac:dyDescent="0.25">
      <c r="A3" s="4">
        <v>9</v>
      </c>
      <c r="B3">
        <v>3</v>
      </c>
    </row>
    <row r="4" spans="1:2" x14ac:dyDescent="0.25">
      <c r="A4" s="4">
        <v>12</v>
      </c>
      <c r="B4">
        <v>5</v>
      </c>
    </row>
    <row r="5" spans="1:2" x14ac:dyDescent="0.25">
      <c r="A5" s="4">
        <v>15</v>
      </c>
      <c r="B5">
        <v>7</v>
      </c>
    </row>
    <row r="6" spans="1:2" x14ac:dyDescent="0.25">
      <c r="A6" s="4">
        <v>18</v>
      </c>
      <c r="B6">
        <v>10</v>
      </c>
    </row>
    <row r="7" spans="1:2" x14ac:dyDescent="0.25">
      <c r="A7" s="4">
        <v>21</v>
      </c>
      <c r="B7">
        <v>5</v>
      </c>
    </row>
    <row r="8" spans="1:2" x14ac:dyDescent="0.25">
      <c r="A8" s="4">
        <v>24</v>
      </c>
      <c r="B8">
        <v>20</v>
      </c>
    </row>
    <row r="9" spans="1:2" x14ac:dyDescent="0.25">
      <c r="A9" s="4" t="s">
        <v>16</v>
      </c>
      <c r="B9">
        <v>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6F19-F80D-4FE4-903B-A6E14B9F5D2D}">
  <dimension ref="A1:B16"/>
  <sheetViews>
    <sheetView workbookViewId="0">
      <selection activeCell="B37" sqref="B37"/>
    </sheetView>
  </sheetViews>
  <sheetFormatPr defaultRowHeight="15" x14ac:dyDescent="0.25"/>
  <cols>
    <col min="1" max="1" width="13.42578125" bestFit="1" customWidth="1"/>
    <col min="2" max="2" width="25.140625" bestFit="1" customWidth="1"/>
  </cols>
  <sheetData>
    <row r="1" spans="1:2" x14ac:dyDescent="0.25">
      <c r="A1" s="3" t="s">
        <v>15</v>
      </c>
      <c r="B1" t="s">
        <v>30</v>
      </c>
    </row>
    <row r="2" spans="1:2" x14ac:dyDescent="0.25">
      <c r="A2" s="4">
        <v>5</v>
      </c>
      <c r="B2">
        <v>0.45</v>
      </c>
    </row>
    <row r="3" spans="1:2" x14ac:dyDescent="0.25">
      <c r="A3" s="4">
        <v>6</v>
      </c>
      <c r="B3">
        <v>0.53</v>
      </c>
    </row>
    <row r="4" spans="1:2" x14ac:dyDescent="0.25">
      <c r="A4" s="4">
        <v>7</v>
      </c>
      <c r="B4">
        <v>0.6</v>
      </c>
    </row>
    <row r="5" spans="1:2" x14ac:dyDescent="0.25">
      <c r="A5" s="4">
        <v>8</v>
      </c>
      <c r="B5">
        <v>0.65</v>
      </c>
    </row>
    <row r="6" spans="1:2" x14ac:dyDescent="0.25">
      <c r="A6" s="4">
        <v>9</v>
      </c>
      <c r="B6">
        <v>0.8</v>
      </c>
    </row>
    <row r="7" spans="1:2" x14ac:dyDescent="0.25">
      <c r="A7" s="4">
        <v>10</v>
      </c>
      <c r="B7">
        <v>0.85</v>
      </c>
    </row>
    <row r="8" spans="1:2" x14ac:dyDescent="0.25">
      <c r="A8" s="4">
        <v>11</v>
      </c>
      <c r="B8">
        <v>0.8</v>
      </c>
    </row>
    <row r="9" spans="1:2" x14ac:dyDescent="0.25">
      <c r="A9" s="4">
        <v>12</v>
      </c>
      <c r="B9">
        <v>0.85</v>
      </c>
    </row>
    <row r="10" spans="1:2" x14ac:dyDescent="0.25">
      <c r="A10" s="4">
        <v>13</v>
      </c>
      <c r="B10">
        <v>0.88</v>
      </c>
    </row>
    <row r="11" spans="1:2" x14ac:dyDescent="0.25">
      <c r="A11" s="4">
        <v>14</v>
      </c>
      <c r="B11">
        <v>0.9</v>
      </c>
    </row>
    <row r="12" spans="1:2" x14ac:dyDescent="0.25">
      <c r="A12" s="4">
        <v>15</v>
      </c>
      <c r="B12">
        <v>0.92</v>
      </c>
    </row>
    <row r="13" spans="1:2" x14ac:dyDescent="0.25">
      <c r="A13" s="4">
        <v>16</v>
      </c>
      <c r="B13">
        <v>0.95</v>
      </c>
    </row>
    <row r="14" spans="1:2" x14ac:dyDescent="0.25">
      <c r="A14" s="4">
        <v>17</v>
      </c>
      <c r="B14">
        <v>0.9</v>
      </c>
    </row>
    <row r="15" spans="1:2" x14ac:dyDescent="0.25">
      <c r="A15" s="4">
        <v>18</v>
      </c>
      <c r="B15">
        <v>0.97</v>
      </c>
    </row>
    <row r="16" spans="1:2" x14ac:dyDescent="0.25">
      <c r="A16" s="4" t="s">
        <v>16</v>
      </c>
      <c r="B16">
        <v>0.97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D8C3-7F51-4A89-9E72-1F9725151A16}">
  <dimension ref="A1:B16"/>
  <sheetViews>
    <sheetView workbookViewId="0">
      <selection activeCell="A2" sqref="A2:B15"/>
      <pivotSelection pane="bottomRight" showHeader="1" extendable="1" axis="axisRow" max="15" activeRow="1" previousRow="14" click="1" r:id="rId1">
        <pivotArea dataOnly="0" axis="axisRow" fieldPosition="0">
          <references count="1">
            <reference field="0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Selection>
    </sheetView>
  </sheetViews>
  <sheetFormatPr defaultRowHeight="15" x14ac:dyDescent="0.25"/>
  <cols>
    <col min="1" max="1" width="13.42578125" bestFit="1" customWidth="1"/>
    <col min="2" max="2" width="24" bestFit="1" customWidth="1"/>
  </cols>
  <sheetData>
    <row r="1" spans="1:2" x14ac:dyDescent="0.25">
      <c r="A1" s="3" t="s">
        <v>15</v>
      </c>
      <c r="B1" t="s">
        <v>31</v>
      </c>
    </row>
    <row r="2" spans="1:2" x14ac:dyDescent="0.25">
      <c r="A2" s="4">
        <v>85</v>
      </c>
      <c r="B2">
        <v>7.1</v>
      </c>
    </row>
    <row r="3" spans="1:2" x14ac:dyDescent="0.25">
      <c r="A3" s="4">
        <v>90</v>
      </c>
      <c r="B3">
        <v>7.3000000000000007</v>
      </c>
    </row>
    <row r="4" spans="1:2" x14ac:dyDescent="0.25">
      <c r="A4" s="4">
        <v>95</v>
      </c>
      <c r="B4">
        <v>7.6</v>
      </c>
    </row>
    <row r="5" spans="1:2" x14ac:dyDescent="0.25">
      <c r="A5" s="4">
        <v>100</v>
      </c>
      <c r="B5">
        <v>11.7</v>
      </c>
    </row>
    <row r="6" spans="1:2" x14ac:dyDescent="0.25">
      <c r="A6" s="4">
        <v>105</v>
      </c>
      <c r="B6">
        <v>8</v>
      </c>
    </row>
    <row r="7" spans="1:2" x14ac:dyDescent="0.25">
      <c r="A7" s="4">
        <v>110</v>
      </c>
      <c r="B7">
        <v>8.4</v>
      </c>
    </row>
    <row r="8" spans="1:2" x14ac:dyDescent="0.25">
      <c r="A8" s="4">
        <v>115</v>
      </c>
      <c r="B8">
        <v>8.1999999999999993</v>
      </c>
    </row>
    <row r="9" spans="1:2" x14ac:dyDescent="0.25">
      <c r="A9" s="4">
        <v>120</v>
      </c>
      <c r="B9">
        <v>8.8000000000000007</v>
      </c>
    </row>
    <row r="10" spans="1:2" x14ac:dyDescent="0.25">
      <c r="A10" s="4">
        <v>125</v>
      </c>
      <c r="B10">
        <v>12.899999999999999</v>
      </c>
    </row>
    <row r="11" spans="1:2" x14ac:dyDescent="0.25">
      <c r="A11" s="4">
        <v>130</v>
      </c>
      <c r="B11">
        <v>9.1999999999999993</v>
      </c>
    </row>
    <row r="12" spans="1:2" x14ac:dyDescent="0.25">
      <c r="A12" s="4">
        <v>135</v>
      </c>
      <c r="B12">
        <v>9.3000000000000007</v>
      </c>
    </row>
    <row r="13" spans="1:2" x14ac:dyDescent="0.25">
      <c r="A13" s="4">
        <v>140</v>
      </c>
      <c r="B13">
        <v>9.3999999999999986</v>
      </c>
    </row>
    <row r="14" spans="1:2" x14ac:dyDescent="0.25">
      <c r="A14" s="4">
        <v>145</v>
      </c>
      <c r="B14">
        <v>4.7</v>
      </c>
    </row>
    <row r="15" spans="1:2" x14ac:dyDescent="0.25">
      <c r="A15" s="4">
        <v>150</v>
      </c>
      <c r="B15">
        <v>9.6999999999999993</v>
      </c>
    </row>
    <row r="16" spans="1:2" x14ac:dyDescent="0.25">
      <c r="A16" s="4" t="s">
        <v>16</v>
      </c>
      <c r="B16">
        <v>122.30000000000001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A258-3039-4A3D-BDBD-21D8DBBE8811}">
  <sheetPr filterMode="1"/>
  <dimension ref="A1:L31"/>
  <sheetViews>
    <sheetView zoomScale="83" workbookViewId="0">
      <selection activeCell="K59" sqref="K59"/>
    </sheetView>
  </sheetViews>
  <sheetFormatPr defaultRowHeight="15" x14ac:dyDescent="0.25"/>
  <cols>
    <col min="1" max="1" width="21.7109375" customWidth="1"/>
    <col min="2" max="2" width="23.28515625" customWidth="1"/>
    <col min="3" max="3" width="23.140625" customWidth="1"/>
    <col min="4" max="4" width="19.42578125" customWidth="1"/>
    <col min="5" max="5" width="22.28515625" customWidth="1"/>
    <col min="6" max="6" width="24.5703125" customWidth="1"/>
    <col min="7" max="7" width="19.7109375" customWidth="1"/>
    <col min="8" max="8" width="20.28515625" customWidth="1"/>
    <col min="9" max="9" width="19.28515625" customWidth="1"/>
    <col min="10" max="10" width="27.7109375" customWidth="1"/>
    <col min="11" max="11" width="23.7109375" customWidth="1"/>
    <col min="12" max="12" width="23" customWidth="1"/>
  </cols>
  <sheetData>
    <row r="1" spans="1:12" ht="30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hidden="1" x14ac:dyDescent="0.25">
      <c r="A2" s="2">
        <v>120</v>
      </c>
      <c r="B2" s="2">
        <v>4.5</v>
      </c>
      <c r="C2" s="2">
        <v>2000</v>
      </c>
      <c r="D2" s="2">
        <v>2</v>
      </c>
      <c r="E2" s="2">
        <v>1</v>
      </c>
      <c r="F2" s="2">
        <v>12</v>
      </c>
      <c r="G2" s="2">
        <v>5</v>
      </c>
      <c r="H2" s="2">
        <v>500</v>
      </c>
      <c r="I2" s="2">
        <v>0</v>
      </c>
      <c r="J2" s="2">
        <v>1</v>
      </c>
      <c r="K2" s="2">
        <v>10</v>
      </c>
      <c r="L2" s="2">
        <v>0.85</v>
      </c>
    </row>
    <row r="3" spans="1:12" x14ac:dyDescent="0.25">
      <c r="A3" s="2">
        <v>95</v>
      </c>
      <c r="B3" s="2">
        <v>3.8</v>
      </c>
      <c r="C3" s="2">
        <v>1800</v>
      </c>
      <c r="D3" s="2">
        <v>3</v>
      </c>
      <c r="E3" s="2">
        <v>0</v>
      </c>
      <c r="F3" s="2">
        <v>6</v>
      </c>
      <c r="G3" s="2">
        <v>3</v>
      </c>
      <c r="H3" s="2">
        <v>300</v>
      </c>
      <c r="I3" s="2">
        <v>2</v>
      </c>
      <c r="J3" s="2">
        <v>0</v>
      </c>
      <c r="K3" s="2">
        <v>8</v>
      </c>
      <c r="L3" s="2">
        <v>0.6</v>
      </c>
    </row>
    <row r="4" spans="1:12" x14ac:dyDescent="0.25">
      <c r="A4" s="2">
        <v>105</v>
      </c>
      <c r="B4" s="2">
        <v>4</v>
      </c>
      <c r="C4" s="2">
        <v>1850</v>
      </c>
      <c r="D4" s="2">
        <v>3</v>
      </c>
      <c r="E4" s="2">
        <v>1</v>
      </c>
      <c r="F4" s="2">
        <v>12</v>
      </c>
      <c r="G4" s="2">
        <v>4</v>
      </c>
      <c r="H4" s="2">
        <v>400</v>
      </c>
      <c r="I4" s="2">
        <v>1</v>
      </c>
      <c r="J4" s="2">
        <v>0</v>
      </c>
      <c r="K4" s="2">
        <v>10</v>
      </c>
      <c r="L4" s="2">
        <v>0.7</v>
      </c>
    </row>
    <row r="5" spans="1:12" hidden="1" x14ac:dyDescent="0.25">
      <c r="A5" s="2">
        <v>130</v>
      </c>
      <c r="B5" s="2">
        <v>4.7</v>
      </c>
      <c r="C5" s="2">
        <v>2100</v>
      </c>
      <c r="D5" s="2">
        <v>2</v>
      </c>
      <c r="E5" s="2">
        <v>3</v>
      </c>
      <c r="F5" s="2">
        <v>24</v>
      </c>
      <c r="G5" s="2">
        <v>6</v>
      </c>
      <c r="H5" s="2">
        <v>600</v>
      </c>
      <c r="I5" s="2">
        <v>0</v>
      </c>
      <c r="J5" s="2">
        <v>0</v>
      </c>
      <c r="K5" s="2">
        <v>15</v>
      </c>
      <c r="L5" s="2">
        <v>0.92</v>
      </c>
    </row>
    <row r="6" spans="1:12" hidden="1" x14ac:dyDescent="0.25">
      <c r="A6" s="2">
        <v>100</v>
      </c>
      <c r="B6" s="2">
        <v>3.9</v>
      </c>
      <c r="C6" s="2">
        <v>1750</v>
      </c>
      <c r="D6" s="2">
        <v>4</v>
      </c>
      <c r="E6" s="2">
        <v>0</v>
      </c>
      <c r="F6" s="2">
        <v>9</v>
      </c>
      <c r="G6" s="2">
        <v>3</v>
      </c>
      <c r="H6" s="2">
        <v>350</v>
      </c>
      <c r="I6" s="2">
        <v>3</v>
      </c>
      <c r="J6" s="2">
        <v>1</v>
      </c>
      <c r="K6" s="2">
        <v>7</v>
      </c>
      <c r="L6" s="2">
        <v>0.55000000000000004</v>
      </c>
    </row>
    <row r="7" spans="1:12" x14ac:dyDescent="0.25">
      <c r="A7" s="2">
        <v>105</v>
      </c>
      <c r="B7" s="2">
        <v>4</v>
      </c>
      <c r="C7" s="2">
        <v>1850</v>
      </c>
      <c r="D7" s="2">
        <v>3</v>
      </c>
      <c r="E7" s="2">
        <v>1</v>
      </c>
      <c r="F7" s="2">
        <v>12</v>
      </c>
      <c r="G7" s="2">
        <v>4</v>
      </c>
      <c r="H7" s="2">
        <v>410</v>
      </c>
      <c r="I7" s="2">
        <v>1</v>
      </c>
      <c r="J7" s="2">
        <v>0</v>
      </c>
      <c r="K7" s="2">
        <v>9</v>
      </c>
      <c r="L7" s="2">
        <v>0.7</v>
      </c>
    </row>
    <row r="8" spans="1:12" x14ac:dyDescent="0.25">
      <c r="A8" s="2">
        <v>110</v>
      </c>
      <c r="B8" s="2">
        <v>4.2</v>
      </c>
      <c r="C8" s="2">
        <v>1900</v>
      </c>
      <c r="D8" s="2">
        <v>3</v>
      </c>
      <c r="E8" s="2">
        <v>2</v>
      </c>
      <c r="F8" s="2">
        <v>15</v>
      </c>
      <c r="G8" s="2">
        <v>4</v>
      </c>
      <c r="H8" s="2">
        <v>460</v>
      </c>
      <c r="I8" s="2">
        <v>1</v>
      </c>
      <c r="J8" s="2">
        <v>0</v>
      </c>
      <c r="K8" s="2">
        <v>10</v>
      </c>
      <c r="L8" s="2">
        <v>0.75</v>
      </c>
    </row>
    <row r="9" spans="1:12" hidden="1" x14ac:dyDescent="0.25">
      <c r="A9" s="2">
        <v>125</v>
      </c>
      <c r="B9" s="2">
        <v>4.3</v>
      </c>
      <c r="C9" s="2">
        <v>2050</v>
      </c>
      <c r="D9" s="2">
        <v>1</v>
      </c>
      <c r="E9" s="2">
        <v>1</v>
      </c>
      <c r="F9" s="2">
        <v>18</v>
      </c>
      <c r="G9" s="2">
        <v>6</v>
      </c>
      <c r="H9" s="2">
        <v>550</v>
      </c>
      <c r="I9" s="2">
        <v>1</v>
      </c>
      <c r="J9" s="2">
        <v>0</v>
      </c>
      <c r="K9" s="2">
        <v>13</v>
      </c>
      <c r="L9" s="2">
        <v>0.88</v>
      </c>
    </row>
    <row r="10" spans="1:12" hidden="1" x14ac:dyDescent="0.25">
      <c r="A10" s="2">
        <v>90</v>
      </c>
      <c r="B10" s="2">
        <v>3.7</v>
      </c>
      <c r="C10" s="2">
        <v>1700</v>
      </c>
      <c r="D10" s="2">
        <v>5</v>
      </c>
      <c r="E10" s="2">
        <v>0</v>
      </c>
      <c r="F10" s="2">
        <v>6</v>
      </c>
      <c r="G10" s="2">
        <v>2</v>
      </c>
      <c r="H10" s="2">
        <v>300</v>
      </c>
      <c r="I10" s="2">
        <v>4</v>
      </c>
      <c r="J10" s="2">
        <v>1</v>
      </c>
      <c r="K10" s="2">
        <v>6</v>
      </c>
      <c r="L10" s="2">
        <v>0.5</v>
      </c>
    </row>
    <row r="11" spans="1:12" hidden="1" x14ac:dyDescent="0.25">
      <c r="A11" s="2">
        <v>85</v>
      </c>
      <c r="B11" s="2">
        <v>3.6</v>
      </c>
      <c r="C11" s="2">
        <v>1650</v>
      </c>
      <c r="D11" s="2">
        <v>4</v>
      </c>
      <c r="E11" s="2">
        <v>1</v>
      </c>
      <c r="F11" s="2">
        <v>9</v>
      </c>
      <c r="G11" s="2">
        <v>3</v>
      </c>
      <c r="H11" s="2">
        <v>320</v>
      </c>
      <c r="I11" s="2">
        <v>2</v>
      </c>
      <c r="J11" s="2">
        <v>0</v>
      </c>
      <c r="K11" s="2">
        <v>8</v>
      </c>
      <c r="L11" s="2">
        <v>0.56999999999999995</v>
      </c>
    </row>
    <row r="12" spans="1:12" hidden="1" x14ac:dyDescent="0.25">
      <c r="A12" s="2">
        <v>140</v>
      </c>
      <c r="B12" s="2">
        <v>4.8</v>
      </c>
      <c r="C12" s="2">
        <v>2200</v>
      </c>
      <c r="D12" s="2">
        <v>2</v>
      </c>
      <c r="E12" s="2">
        <v>2</v>
      </c>
      <c r="F12" s="2">
        <v>24</v>
      </c>
      <c r="G12" s="2">
        <v>7</v>
      </c>
      <c r="H12" s="2">
        <v>650</v>
      </c>
      <c r="I12" s="2">
        <v>0</v>
      </c>
      <c r="J12" s="2">
        <v>0</v>
      </c>
      <c r="K12" s="2">
        <v>16</v>
      </c>
      <c r="L12" s="2">
        <v>0.95</v>
      </c>
    </row>
    <row r="13" spans="1:12" hidden="1" x14ac:dyDescent="0.25">
      <c r="A13" s="2">
        <v>100</v>
      </c>
      <c r="B13" s="2">
        <v>3.9</v>
      </c>
      <c r="C13" s="2">
        <v>1750</v>
      </c>
      <c r="D13" s="2">
        <v>4</v>
      </c>
      <c r="E13" s="2">
        <v>0</v>
      </c>
      <c r="F13" s="2">
        <v>12</v>
      </c>
      <c r="G13" s="2">
        <v>4</v>
      </c>
      <c r="H13" s="2">
        <v>400</v>
      </c>
      <c r="I13" s="2">
        <v>3</v>
      </c>
      <c r="J13" s="2">
        <v>1</v>
      </c>
      <c r="K13" s="2">
        <v>7</v>
      </c>
      <c r="L13" s="2">
        <v>0.6</v>
      </c>
    </row>
    <row r="14" spans="1:12" hidden="1" x14ac:dyDescent="0.25">
      <c r="A14" s="2">
        <v>135</v>
      </c>
      <c r="B14" s="2">
        <v>4.5999999999999996</v>
      </c>
      <c r="C14" s="2">
        <v>2150</v>
      </c>
      <c r="D14" s="2">
        <v>1</v>
      </c>
      <c r="E14" s="2">
        <v>3</v>
      </c>
      <c r="F14" s="2">
        <v>18</v>
      </c>
      <c r="G14" s="2">
        <v>6</v>
      </c>
      <c r="H14" s="2">
        <v>580</v>
      </c>
      <c r="I14" s="2">
        <v>0</v>
      </c>
      <c r="J14" s="2">
        <v>0</v>
      </c>
      <c r="K14" s="2">
        <v>14</v>
      </c>
      <c r="L14" s="2">
        <v>0.9</v>
      </c>
    </row>
    <row r="15" spans="1:12" hidden="1" x14ac:dyDescent="0.25">
      <c r="A15" s="2">
        <v>150</v>
      </c>
      <c r="B15" s="2">
        <v>4.9000000000000004</v>
      </c>
      <c r="C15" s="2">
        <v>2300</v>
      </c>
      <c r="D15" s="2">
        <v>1</v>
      </c>
      <c r="E15" s="2">
        <v>4</v>
      </c>
      <c r="F15" s="2">
        <v>24</v>
      </c>
      <c r="G15" s="2">
        <v>8</v>
      </c>
      <c r="H15" s="2">
        <v>700</v>
      </c>
      <c r="I15" s="2">
        <v>0</v>
      </c>
      <c r="J15" s="2">
        <v>0</v>
      </c>
      <c r="K15" s="2">
        <v>18</v>
      </c>
      <c r="L15" s="2">
        <v>0.97</v>
      </c>
    </row>
    <row r="16" spans="1:12" hidden="1" x14ac:dyDescent="0.25">
      <c r="A16" s="2">
        <v>95</v>
      </c>
      <c r="B16" s="2">
        <v>3.8</v>
      </c>
      <c r="C16" s="2">
        <v>1800</v>
      </c>
      <c r="D16" s="2">
        <v>5</v>
      </c>
      <c r="E16" s="2">
        <v>1</v>
      </c>
      <c r="F16" s="2">
        <v>9</v>
      </c>
      <c r="G16" s="2">
        <v>3</v>
      </c>
      <c r="H16" s="2">
        <v>360</v>
      </c>
      <c r="I16" s="2">
        <v>3</v>
      </c>
      <c r="J16" s="2">
        <v>1</v>
      </c>
      <c r="K16" s="2">
        <v>6</v>
      </c>
      <c r="L16" s="2">
        <v>0.53</v>
      </c>
    </row>
    <row r="17" spans="1:12" hidden="1" x14ac:dyDescent="0.25">
      <c r="A17" s="2">
        <v>125</v>
      </c>
      <c r="B17" s="2">
        <v>4.4000000000000004</v>
      </c>
      <c r="C17" s="2">
        <v>2050</v>
      </c>
      <c r="D17" s="2">
        <v>2</v>
      </c>
      <c r="E17" s="2">
        <v>1</v>
      </c>
      <c r="F17" s="2">
        <v>18</v>
      </c>
      <c r="G17" s="2">
        <v>5</v>
      </c>
      <c r="H17" s="2">
        <v>520</v>
      </c>
      <c r="I17" s="2">
        <v>0</v>
      </c>
      <c r="J17" s="2">
        <v>0</v>
      </c>
      <c r="K17" s="2">
        <v>12</v>
      </c>
      <c r="L17" s="2">
        <v>0.85</v>
      </c>
    </row>
    <row r="18" spans="1:12" x14ac:dyDescent="0.25">
      <c r="A18" s="2">
        <v>115</v>
      </c>
      <c r="B18" s="2">
        <v>4.0999999999999996</v>
      </c>
      <c r="C18" s="2">
        <v>1950</v>
      </c>
      <c r="D18" s="2">
        <v>2</v>
      </c>
      <c r="E18" s="2">
        <v>3</v>
      </c>
      <c r="F18" s="2">
        <v>15</v>
      </c>
      <c r="G18" s="2">
        <v>5</v>
      </c>
      <c r="H18" s="2">
        <v>430</v>
      </c>
      <c r="I18" s="2">
        <v>1</v>
      </c>
      <c r="J18" s="2">
        <v>0</v>
      </c>
      <c r="K18" s="2">
        <v>10</v>
      </c>
      <c r="L18" s="2">
        <v>0.75</v>
      </c>
    </row>
    <row r="19" spans="1:12" hidden="1" x14ac:dyDescent="0.25">
      <c r="A19" s="2">
        <v>145</v>
      </c>
      <c r="B19" s="2">
        <v>4.7</v>
      </c>
      <c r="C19" s="2">
        <v>2250</v>
      </c>
      <c r="D19" s="2">
        <v>1</v>
      </c>
      <c r="E19" s="2">
        <v>3</v>
      </c>
      <c r="F19" s="2">
        <v>24</v>
      </c>
      <c r="G19" s="2">
        <v>7</v>
      </c>
      <c r="H19" s="2">
        <v>620</v>
      </c>
      <c r="I19" s="2">
        <v>0</v>
      </c>
      <c r="J19" s="2">
        <v>0</v>
      </c>
      <c r="K19" s="2">
        <v>17</v>
      </c>
      <c r="L19" s="2">
        <v>0.9</v>
      </c>
    </row>
    <row r="20" spans="1:12" hidden="1" x14ac:dyDescent="0.25">
      <c r="A20" s="2">
        <v>120</v>
      </c>
      <c r="B20" s="2">
        <v>4.3</v>
      </c>
      <c r="C20" s="2">
        <v>2000</v>
      </c>
      <c r="D20" s="2">
        <v>2</v>
      </c>
      <c r="E20" s="2">
        <v>1</v>
      </c>
      <c r="F20" s="2">
        <v>18</v>
      </c>
      <c r="G20" s="2">
        <v>5</v>
      </c>
      <c r="H20" s="2">
        <v>510</v>
      </c>
      <c r="I20" s="2">
        <v>0</v>
      </c>
      <c r="J20" s="2">
        <v>0</v>
      </c>
      <c r="K20" s="2">
        <v>11</v>
      </c>
      <c r="L20" s="2">
        <v>0.8</v>
      </c>
    </row>
    <row r="21" spans="1:12" hidden="1" x14ac:dyDescent="0.25">
      <c r="A21" s="2">
        <v>130</v>
      </c>
      <c r="B21" s="2">
        <v>4.5</v>
      </c>
      <c r="C21" s="2">
        <v>2100</v>
      </c>
      <c r="D21" s="2">
        <v>3</v>
      </c>
      <c r="E21" s="2">
        <v>2</v>
      </c>
      <c r="F21" s="2">
        <v>21</v>
      </c>
      <c r="G21" s="2">
        <v>6</v>
      </c>
      <c r="H21" s="2">
        <v>570</v>
      </c>
      <c r="I21" s="2">
        <v>0</v>
      </c>
      <c r="J21" s="2">
        <v>0</v>
      </c>
      <c r="K21" s="2">
        <v>13</v>
      </c>
      <c r="L21" s="2">
        <v>0.85</v>
      </c>
    </row>
    <row r="22" spans="1:12" hidden="1" x14ac:dyDescent="0.25">
      <c r="A22" s="2">
        <v>85</v>
      </c>
      <c r="B22" s="2">
        <v>3.5</v>
      </c>
      <c r="C22" s="2">
        <v>1600</v>
      </c>
      <c r="D22" s="2">
        <v>6</v>
      </c>
      <c r="E22" s="2">
        <v>0</v>
      </c>
      <c r="F22" s="2">
        <v>6</v>
      </c>
      <c r="G22" s="2">
        <v>2</v>
      </c>
      <c r="H22" s="2">
        <v>280</v>
      </c>
      <c r="I22" s="2">
        <v>5</v>
      </c>
      <c r="J22" s="2">
        <v>1</v>
      </c>
      <c r="K22" s="2">
        <v>5</v>
      </c>
      <c r="L22" s="2">
        <v>0.45</v>
      </c>
    </row>
    <row r="23" spans="1:12" hidden="1" x14ac:dyDescent="0.25">
      <c r="A23" s="2">
        <v>90</v>
      </c>
      <c r="B23" s="2">
        <v>3.6</v>
      </c>
      <c r="C23" s="2">
        <v>1700</v>
      </c>
      <c r="D23" s="2">
        <v>5</v>
      </c>
      <c r="E23" s="2">
        <v>1</v>
      </c>
      <c r="F23" s="2">
        <v>9</v>
      </c>
      <c r="G23" s="2">
        <v>3</v>
      </c>
      <c r="H23" s="2">
        <v>310</v>
      </c>
      <c r="I23" s="2">
        <v>3</v>
      </c>
      <c r="J23" s="2">
        <v>0</v>
      </c>
      <c r="K23" s="2">
        <v>7</v>
      </c>
      <c r="L23" s="2">
        <v>0.5</v>
      </c>
    </row>
    <row r="24" spans="1:12" hidden="1" x14ac:dyDescent="0.25">
      <c r="A24" s="2">
        <v>100</v>
      </c>
      <c r="B24" s="2">
        <v>3.9</v>
      </c>
      <c r="C24" s="2">
        <v>1800</v>
      </c>
      <c r="D24" s="2">
        <v>4</v>
      </c>
      <c r="E24" s="2">
        <v>2</v>
      </c>
      <c r="F24" s="2">
        <v>12</v>
      </c>
      <c r="G24" s="2">
        <v>4</v>
      </c>
      <c r="H24" s="2">
        <v>370</v>
      </c>
      <c r="I24" s="2">
        <v>2</v>
      </c>
      <c r="J24" s="2">
        <v>0</v>
      </c>
      <c r="K24" s="2">
        <v>8</v>
      </c>
      <c r="L24" s="2">
        <v>0.65</v>
      </c>
    </row>
    <row r="25" spans="1:12" x14ac:dyDescent="0.25">
      <c r="A25" s="2">
        <v>110</v>
      </c>
      <c r="B25" s="2">
        <v>4.2</v>
      </c>
      <c r="C25" s="2">
        <v>1900</v>
      </c>
      <c r="D25" s="2">
        <v>1</v>
      </c>
      <c r="E25" s="2">
        <v>2</v>
      </c>
      <c r="F25" s="2">
        <v>18</v>
      </c>
      <c r="G25" s="2">
        <v>4</v>
      </c>
      <c r="H25" s="2">
        <v>450</v>
      </c>
      <c r="I25" s="2">
        <v>1</v>
      </c>
      <c r="J25" s="2">
        <v>0</v>
      </c>
      <c r="K25" s="2">
        <v>12</v>
      </c>
      <c r="L25" s="2">
        <v>0.78</v>
      </c>
    </row>
    <row r="26" spans="1:12" hidden="1" x14ac:dyDescent="0.25">
      <c r="A26" s="2">
        <v>140</v>
      </c>
      <c r="B26" s="2">
        <v>4.5999999999999996</v>
      </c>
      <c r="C26" s="2">
        <v>2200</v>
      </c>
      <c r="D26" s="2">
        <v>1</v>
      </c>
      <c r="E26" s="2">
        <v>4</v>
      </c>
      <c r="F26" s="2">
        <v>24</v>
      </c>
      <c r="G26" s="2">
        <v>7</v>
      </c>
      <c r="H26" s="2">
        <v>600</v>
      </c>
      <c r="I26" s="2">
        <v>0</v>
      </c>
      <c r="J26" s="2">
        <v>0</v>
      </c>
      <c r="K26" s="2">
        <v>15</v>
      </c>
      <c r="L26" s="2">
        <v>0.9</v>
      </c>
    </row>
    <row r="27" spans="1:12" hidden="1" x14ac:dyDescent="0.25">
      <c r="A27" s="2">
        <v>135</v>
      </c>
      <c r="B27" s="2">
        <v>4.7</v>
      </c>
      <c r="C27" s="2">
        <v>2150</v>
      </c>
      <c r="D27" s="2">
        <v>1</v>
      </c>
      <c r="E27" s="2">
        <v>3</v>
      </c>
      <c r="F27" s="2">
        <v>21</v>
      </c>
      <c r="G27" s="2">
        <v>6</v>
      </c>
      <c r="H27" s="2">
        <v>580</v>
      </c>
      <c r="I27" s="2">
        <v>0</v>
      </c>
      <c r="J27" s="2">
        <v>0</v>
      </c>
      <c r="K27" s="2">
        <v>14</v>
      </c>
      <c r="L27" s="2">
        <v>0.88</v>
      </c>
    </row>
    <row r="28" spans="1:12" x14ac:dyDescent="0.25">
      <c r="A28" s="2">
        <v>115</v>
      </c>
      <c r="B28" s="2">
        <v>4.0999999999999996</v>
      </c>
      <c r="C28" s="2">
        <v>1950</v>
      </c>
      <c r="D28" s="2">
        <v>2</v>
      </c>
      <c r="E28" s="2">
        <v>2</v>
      </c>
      <c r="F28" s="2">
        <v>15</v>
      </c>
      <c r="G28" s="2">
        <v>5</v>
      </c>
      <c r="H28" s="2">
        <v>450</v>
      </c>
      <c r="I28" s="2">
        <v>0</v>
      </c>
      <c r="J28" s="2">
        <v>0</v>
      </c>
      <c r="K28" s="2">
        <v>9</v>
      </c>
      <c r="L28" s="2">
        <v>0.8</v>
      </c>
    </row>
    <row r="29" spans="1:12" hidden="1" x14ac:dyDescent="0.25">
      <c r="A29" s="2">
        <v>150</v>
      </c>
      <c r="B29" s="2">
        <v>4.8</v>
      </c>
      <c r="C29" s="2">
        <v>2300</v>
      </c>
      <c r="D29" s="2">
        <v>1</v>
      </c>
      <c r="E29" s="2">
        <v>4</v>
      </c>
      <c r="F29" s="2">
        <v>24</v>
      </c>
      <c r="G29" s="2">
        <v>7</v>
      </c>
      <c r="H29" s="2">
        <v>620</v>
      </c>
      <c r="I29" s="2">
        <v>0</v>
      </c>
      <c r="J29" s="2">
        <v>0</v>
      </c>
      <c r="K29" s="2">
        <v>16</v>
      </c>
      <c r="L29" s="2">
        <v>0.92</v>
      </c>
    </row>
    <row r="30" spans="1:12" x14ac:dyDescent="0.25">
      <c r="A30" s="2">
        <v>125</v>
      </c>
      <c r="B30" s="2">
        <v>4.2</v>
      </c>
      <c r="C30" s="2">
        <v>2050</v>
      </c>
      <c r="D30" s="2">
        <v>2</v>
      </c>
      <c r="E30" s="2">
        <v>2</v>
      </c>
      <c r="F30" s="2">
        <v>18</v>
      </c>
      <c r="G30" s="2">
        <v>5</v>
      </c>
      <c r="H30" s="2">
        <v>500</v>
      </c>
      <c r="I30" s="2">
        <v>1</v>
      </c>
      <c r="J30" s="2">
        <v>0</v>
      </c>
      <c r="K30" s="2">
        <v>12</v>
      </c>
      <c r="L30" s="2">
        <v>0.8</v>
      </c>
    </row>
    <row r="31" spans="1:12" hidden="1" x14ac:dyDescent="0.25">
      <c r="A31" s="2">
        <v>100</v>
      </c>
      <c r="B31" s="2">
        <v>3.9</v>
      </c>
      <c r="C31" s="2">
        <v>1800</v>
      </c>
      <c r="D31" s="2">
        <v>4</v>
      </c>
      <c r="E31" s="2">
        <v>2</v>
      </c>
      <c r="F31" s="2">
        <v>9</v>
      </c>
      <c r="G31" s="2">
        <v>3</v>
      </c>
      <c r="H31" s="2">
        <v>380</v>
      </c>
      <c r="I31" s="2">
        <v>2</v>
      </c>
      <c r="J31" s="2">
        <v>0</v>
      </c>
      <c r="K31" s="2">
        <v>8</v>
      </c>
      <c r="L31" s="2">
        <v>0.65</v>
      </c>
    </row>
  </sheetData>
  <autoFilter ref="A1:L31" xr:uid="{0B5FA258-3039-4A3D-BDBD-21D8DBBE8811}">
    <filterColumn colId="1">
      <filters>
        <filter val="3.5"/>
        <filter val="3.6"/>
        <filter val="3.7"/>
        <filter val="3.8"/>
        <filter val="3.9"/>
        <filter val="4"/>
        <filter val="4.1"/>
        <filter val="4.2"/>
      </filters>
    </filterColumn>
    <filterColumn colId="3">
      <filters>
        <filter val="1"/>
        <filter val="2"/>
        <filter val="3"/>
      </filters>
    </filterColumn>
    <sortState xmlns:xlrd2="http://schemas.microsoft.com/office/spreadsheetml/2017/richdata2" ref="A3:L30">
      <sortCondition ref="L1:L3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70D1-2FE4-4ACC-904A-262658B2D5A3}">
  <dimension ref="A1:O31"/>
  <sheetViews>
    <sheetView topLeftCell="D1" zoomScale="98" workbookViewId="0">
      <selection activeCell="P31" sqref="P31"/>
    </sheetView>
  </sheetViews>
  <sheetFormatPr defaultRowHeight="15" x14ac:dyDescent="0.25"/>
  <cols>
    <col min="1" max="1" width="14.28515625" customWidth="1"/>
    <col min="2" max="2" width="12.85546875" customWidth="1"/>
    <col min="3" max="3" width="19.42578125" customWidth="1"/>
    <col min="4" max="4" width="21.7109375" customWidth="1"/>
    <col min="5" max="5" width="23.28515625" customWidth="1"/>
    <col min="6" max="6" width="23.140625" customWidth="1"/>
    <col min="7" max="7" width="19.42578125" customWidth="1"/>
    <col min="8" max="8" width="22.28515625" customWidth="1"/>
    <col min="9" max="9" width="24.5703125" customWidth="1"/>
    <col min="10" max="10" width="19.7109375" customWidth="1"/>
    <col min="11" max="11" width="20.28515625" customWidth="1"/>
    <col min="12" max="12" width="19.28515625" customWidth="1"/>
    <col min="13" max="13" width="27.7109375" customWidth="1"/>
    <col min="14" max="14" width="23.7109375" customWidth="1"/>
    <col min="15" max="15" width="23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s="2">
        <v>101</v>
      </c>
      <c r="C2" s="2">
        <v>1</v>
      </c>
      <c r="D2" s="2">
        <v>120</v>
      </c>
      <c r="E2" s="2">
        <v>4.5</v>
      </c>
      <c r="F2" s="2">
        <v>2000</v>
      </c>
      <c r="G2" s="2">
        <v>2</v>
      </c>
      <c r="H2" s="2">
        <v>1</v>
      </c>
      <c r="I2" s="2">
        <v>12</v>
      </c>
      <c r="J2" s="2">
        <v>5</v>
      </c>
      <c r="K2" s="2">
        <v>500</v>
      </c>
      <c r="L2" s="2">
        <v>0</v>
      </c>
      <c r="M2" s="2">
        <v>1</v>
      </c>
      <c r="N2" s="2">
        <v>10</v>
      </c>
      <c r="O2" s="2">
        <v>0.85</v>
      </c>
    </row>
    <row r="3" spans="1:15" x14ac:dyDescent="0.25">
      <c r="A3" s="2">
        <v>2</v>
      </c>
      <c r="B3" s="2">
        <v>102</v>
      </c>
      <c r="C3" s="2">
        <v>2</v>
      </c>
      <c r="D3" s="2">
        <v>95</v>
      </c>
      <c r="E3" s="2">
        <v>3.8</v>
      </c>
      <c r="F3" s="2">
        <v>1800</v>
      </c>
      <c r="G3" s="2">
        <v>3</v>
      </c>
      <c r="H3" s="2">
        <v>0</v>
      </c>
      <c r="I3" s="2">
        <v>6</v>
      </c>
      <c r="J3" s="2">
        <v>3</v>
      </c>
      <c r="K3" s="2">
        <v>300</v>
      </c>
      <c r="L3" s="2">
        <v>2</v>
      </c>
      <c r="M3" s="2">
        <v>0</v>
      </c>
      <c r="N3" s="2">
        <v>8</v>
      </c>
      <c r="O3" s="2">
        <v>0.6</v>
      </c>
    </row>
    <row r="4" spans="1:15" x14ac:dyDescent="0.25">
      <c r="A4" s="2">
        <v>3</v>
      </c>
      <c r="B4" s="2">
        <v>103</v>
      </c>
      <c r="C4" s="2">
        <v>3</v>
      </c>
      <c r="D4" s="2">
        <v>110</v>
      </c>
      <c r="E4" s="2">
        <v>4.2</v>
      </c>
      <c r="F4" s="2">
        <v>1900</v>
      </c>
      <c r="G4" s="2">
        <v>1</v>
      </c>
      <c r="H4" s="2">
        <v>2</v>
      </c>
      <c r="I4" s="2">
        <v>18</v>
      </c>
      <c r="J4" s="2">
        <v>4</v>
      </c>
      <c r="K4" s="2">
        <v>450</v>
      </c>
      <c r="L4" s="2">
        <v>1</v>
      </c>
      <c r="M4" s="2">
        <v>0</v>
      </c>
      <c r="N4" s="2">
        <v>12</v>
      </c>
      <c r="O4" s="2">
        <v>0.78</v>
      </c>
    </row>
    <row r="5" spans="1:15" x14ac:dyDescent="0.25">
      <c r="A5" s="2">
        <v>4</v>
      </c>
      <c r="B5" s="2">
        <v>104</v>
      </c>
      <c r="C5" s="2">
        <v>1</v>
      </c>
      <c r="D5" s="2">
        <v>130</v>
      </c>
      <c r="E5" s="2">
        <v>4.7</v>
      </c>
      <c r="F5" s="2">
        <v>2100</v>
      </c>
      <c r="G5" s="2">
        <v>2</v>
      </c>
      <c r="H5" s="2">
        <v>3</v>
      </c>
      <c r="I5" s="2">
        <v>24</v>
      </c>
      <c r="J5" s="2">
        <v>6</v>
      </c>
      <c r="K5" s="2">
        <v>600</v>
      </c>
      <c r="L5" s="2">
        <v>0</v>
      </c>
      <c r="M5" s="2">
        <v>0</v>
      </c>
      <c r="N5" s="2">
        <v>15</v>
      </c>
      <c r="O5" s="2">
        <v>0.92</v>
      </c>
    </row>
    <row r="6" spans="1:15" x14ac:dyDescent="0.25">
      <c r="A6" s="2">
        <v>5</v>
      </c>
      <c r="B6" s="2">
        <v>105</v>
      </c>
      <c r="C6" s="2">
        <v>2</v>
      </c>
      <c r="D6" s="2">
        <v>100</v>
      </c>
      <c r="E6" s="2">
        <v>3.9</v>
      </c>
      <c r="F6" s="2">
        <v>1750</v>
      </c>
      <c r="G6" s="2">
        <v>4</v>
      </c>
      <c r="H6" s="2">
        <v>0</v>
      </c>
      <c r="I6" s="2">
        <v>9</v>
      </c>
      <c r="J6" s="2">
        <v>3</v>
      </c>
      <c r="K6" s="2">
        <v>350</v>
      </c>
      <c r="L6" s="2">
        <v>3</v>
      </c>
      <c r="M6" s="2">
        <v>1</v>
      </c>
      <c r="N6" s="2">
        <v>7</v>
      </c>
      <c r="O6" s="2">
        <v>0.55000000000000004</v>
      </c>
    </row>
    <row r="7" spans="1:15" x14ac:dyDescent="0.25">
      <c r="A7" s="2">
        <v>6</v>
      </c>
      <c r="B7" s="2">
        <v>101</v>
      </c>
      <c r="C7" s="2">
        <v>3</v>
      </c>
      <c r="D7" s="2">
        <v>105</v>
      </c>
      <c r="E7" s="2">
        <v>4</v>
      </c>
      <c r="F7" s="2">
        <v>1850</v>
      </c>
      <c r="G7" s="2">
        <v>3</v>
      </c>
      <c r="H7" s="2">
        <v>1</v>
      </c>
      <c r="I7" s="2">
        <v>12</v>
      </c>
      <c r="J7" s="2">
        <v>4</v>
      </c>
      <c r="K7" s="2">
        <v>400</v>
      </c>
      <c r="L7" s="2">
        <v>1</v>
      </c>
      <c r="M7" s="2">
        <v>0</v>
      </c>
      <c r="N7" s="2">
        <v>10</v>
      </c>
      <c r="O7" s="2">
        <v>0.7</v>
      </c>
    </row>
    <row r="8" spans="1:15" x14ac:dyDescent="0.25">
      <c r="A8" s="2">
        <v>7</v>
      </c>
      <c r="B8" s="2">
        <v>102</v>
      </c>
      <c r="C8" s="2">
        <v>1</v>
      </c>
      <c r="D8" s="2">
        <v>115</v>
      </c>
      <c r="E8" s="2">
        <v>4.0999999999999996</v>
      </c>
      <c r="F8" s="2">
        <v>1950</v>
      </c>
      <c r="G8" s="2">
        <v>2</v>
      </c>
      <c r="H8" s="2">
        <v>2</v>
      </c>
      <c r="I8" s="2">
        <v>15</v>
      </c>
      <c r="J8" s="2">
        <v>5</v>
      </c>
      <c r="K8" s="2">
        <v>450</v>
      </c>
      <c r="L8" s="2">
        <v>0</v>
      </c>
      <c r="M8" s="2">
        <v>0</v>
      </c>
      <c r="N8" s="2">
        <v>9</v>
      </c>
      <c r="O8" s="2">
        <v>0.8</v>
      </c>
    </row>
    <row r="9" spans="1:15" x14ac:dyDescent="0.25">
      <c r="A9" s="2">
        <v>8</v>
      </c>
      <c r="B9" s="2">
        <v>103</v>
      </c>
      <c r="C9" s="2">
        <v>2</v>
      </c>
      <c r="D9" s="2">
        <v>125</v>
      </c>
      <c r="E9" s="2">
        <v>4.3</v>
      </c>
      <c r="F9" s="2">
        <v>2050</v>
      </c>
      <c r="G9" s="2">
        <v>1</v>
      </c>
      <c r="H9" s="2">
        <v>1</v>
      </c>
      <c r="I9" s="2">
        <v>18</v>
      </c>
      <c r="J9" s="2">
        <v>6</v>
      </c>
      <c r="K9" s="2">
        <v>550</v>
      </c>
      <c r="L9" s="2">
        <v>1</v>
      </c>
      <c r="M9" s="2">
        <v>0</v>
      </c>
      <c r="N9" s="2">
        <v>13</v>
      </c>
      <c r="O9" s="2">
        <v>0.88</v>
      </c>
    </row>
    <row r="10" spans="1:15" x14ac:dyDescent="0.25">
      <c r="A10" s="2">
        <v>9</v>
      </c>
      <c r="B10" s="2">
        <v>104</v>
      </c>
      <c r="C10" s="2">
        <v>3</v>
      </c>
      <c r="D10" s="2">
        <v>90</v>
      </c>
      <c r="E10" s="2">
        <v>3.7</v>
      </c>
      <c r="F10" s="2">
        <v>1700</v>
      </c>
      <c r="G10" s="2">
        <v>5</v>
      </c>
      <c r="H10" s="2">
        <v>0</v>
      </c>
      <c r="I10" s="2">
        <v>6</v>
      </c>
      <c r="J10" s="2">
        <v>2</v>
      </c>
      <c r="K10" s="2">
        <v>300</v>
      </c>
      <c r="L10" s="2">
        <v>4</v>
      </c>
      <c r="M10" s="2">
        <v>1</v>
      </c>
      <c r="N10" s="2">
        <v>6</v>
      </c>
      <c r="O10" s="2">
        <v>0.5</v>
      </c>
    </row>
    <row r="11" spans="1:15" x14ac:dyDescent="0.25">
      <c r="A11" s="2">
        <v>10</v>
      </c>
      <c r="B11" s="2">
        <v>105</v>
      </c>
      <c r="C11" s="2">
        <v>1</v>
      </c>
      <c r="D11" s="2">
        <v>85</v>
      </c>
      <c r="E11" s="2">
        <v>3.6</v>
      </c>
      <c r="F11" s="2">
        <v>1650</v>
      </c>
      <c r="G11" s="2">
        <v>4</v>
      </c>
      <c r="H11" s="2">
        <v>1</v>
      </c>
      <c r="I11" s="2">
        <v>9</v>
      </c>
      <c r="J11" s="2">
        <v>3</v>
      </c>
      <c r="K11" s="2">
        <v>320</v>
      </c>
      <c r="L11" s="2">
        <v>2</v>
      </c>
      <c r="M11" s="2">
        <v>0</v>
      </c>
      <c r="N11" s="2">
        <v>8</v>
      </c>
      <c r="O11" s="2">
        <v>0.56999999999999995</v>
      </c>
    </row>
    <row r="12" spans="1:15" x14ac:dyDescent="0.25">
      <c r="A12" s="2">
        <v>11</v>
      </c>
      <c r="B12" s="2">
        <v>101</v>
      </c>
      <c r="C12" s="2">
        <v>2</v>
      </c>
      <c r="D12" s="2">
        <v>140</v>
      </c>
      <c r="E12" s="2">
        <v>4.8</v>
      </c>
      <c r="F12" s="2">
        <v>2200</v>
      </c>
      <c r="G12" s="2">
        <v>2</v>
      </c>
      <c r="H12" s="2">
        <v>2</v>
      </c>
      <c r="I12" s="2">
        <v>24</v>
      </c>
      <c r="J12" s="2">
        <v>7</v>
      </c>
      <c r="K12" s="2">
        <v>650</v>
      </c>
      <c r="L12" s="2">
        <v>0</v>
      </c>
      <c r="M12" s="2">
        <v>0</v>
      </c>
      <c r="N12" s="2">
        <v>16</v>
      </c>
      <c r="O12" s="2">
        <v>0.95</v>
      </c>
    </row>
    <row r="13" spans="1:15" x14ac:dyDescent="0.25">
      <c r="A13" s="2">
        <v>12</v>
      </c>
      <c r="B13" s="2">
        <v>102</v>
      </c>
      <c r="C13" s="2">
        <v>3</v>
      </c>
      <c r="D13" s="2">
        <v>100</v>
      </c>
      <c r="E13" s="2">
        <v>3.9</v>
      </c>
      <c r="F13" s="2">
        <v>1750</v>
      </c>
      <c r="G13" s="2">
        <v>4</v>
      </c>
      <c r="H13" s="2">
        <v>0</v>
      </c>
      <c r="I13" s="2">
        <v>12</v>
      </c>
      <c r="J13" s="2">
        <v>4</v>
      </c>
      <c r="K13" s="2">
        <v>400</v>
      </c>
      <c r="L13" s="2">
        <v>3</v>
      </c>
      <c r="M13" s="2">
        <v>1</v>
      </c>
      <c r="N13" s="2">
        <v>7</v>
      </c>
      <c r="O13" s="2">
        <v>0.6</v>
      </c>
    </row>
    <row r="14" spans="1:15" x14ac:dyDescent="0.25">
      <c r="A14" s="2">
        <v>13</v>
      </c>
      <c r="B14" s="2">
        <v>103</v>
      </c>
      <c r="C14" s="2">
        <v>1</v>
      </c>
      <c r="D14" s="2">
        <v>135</v>
      </c>
      <c r="E14" s="2">
        <v>4.5999999999999996</v>
      </c>
      <c r="F14" s="2">
        <v>2150</v>
      </c>
      <c r="G14" s="2">
        <v>1</v>
      </c>
      <c r="H14" s="2">
        <v>3</v>
      </c>
      <c r="I14" s="2">
        <v>18</v>
      </c>
      <c r="J14" s="2">
        <v>6</v>
      </c>
      <c r="K14" s="2">
        <v>580</v>
      </c>
      <c r="L14" s="2">
        <v>0</v>
      </c>
      <c r="M14" s="2">
        <v>0</v>
      </c>
      <c r="N14" s="2">
        <v>14</v>
      </c>
      <c r="O14" s="2">
        <v>0.9</v>
      </c>
    </row>
    <row r="15" spans="1:15" x14ac:dyDescent="0.25">
      <c r="A15" s="2">
        <v>14</v>
      </c>
      <c r="B15" s="2">
        <v>104</v>
      </c>
      <c r="C15" s="2">
        <v>2</v>
      </c>
      <c r="D15" s="2">
        <v>150</v>
      </c>
      <c r="E15" s="2">
        <v>4.9000000000000004</v>
      </c>
      <c r="F15" s="2">
        <v>2300</v>
      </c>
      <c r="G15" s="2">
        <v>1</v>
      </c>
      <c r="H15" s="2">
        <v>4</v>
      </c>
      <c r="I15" s="2">
        <v>24</v>
      </c>
      <c r="J15" s="2">
        <v>8</v>
      </c>
      <c r="K15" s="2">
        <v>700</v>
      </c>
      <c r="L15" s="2">
        <v>0</v>
      </c>
      <c r="M15" s="2">
        <v>0</v>
      </c>
      <c r="N15" s="2">
        <v>18</v>
      </c>
      <c r="O15" s="2">
        <v>0.97</v>
      </c>
    </row>
    <row r="16" spans="1:15" x14ac:dyDescent="0.25">
      <c r="A16" s="2">
        <v>15</v>
      </c>
      <c r="B16" s="2">
        <v>105</v>
      </c>
      <c r="C16" s="2">
        <v>3</v>
      </c>
      <c r="D16" s="2">
        <v>95</v>
      </c>
      <c r="E16" s="2">
        <v>3.8</v>
      </c>
      <c r="F16" s="2">
        <v>1800</v>
      </c>
      <c r="G16" s="2">
        <v>5</v>
      </c>
      <c r="H16" s="2">
        <v>1</v>
      </c>
      <c r="I16" s="2">
        <v>9</v>
      </c>
      <c r="J16" s="2">
        <v>3</v>
      </c>
      <c r="K16" s="2">
        <v>360</v>
      </c>
      <c r="L16" s="2">
        <v>3</v>
      </c>
      <c r="M16" s="2">
        <v>1</v>
      </c>
      <c r="N16" s="2">
        <v>6</v>
      </c>
      <c r="O16" s="2">
        <v>0.53</v>
      </c>
    </row>
    <row r="17" spans="1:15" x14ac:dyDescent="0.25">
      <c r="A17" s="2">
        <v>16</v>
      </c>
      <c r="B17" s="2">
        <v>101</v>
      </c>
      <c r="C17" s="2">
        <v>1</v>
      </c>
      <c r="D17" s="2">
        <v>125</v>
      </c>
      <c r="E17" s="2">
        <v>4.4000000000000004</v>
      </c>
      <c r="F17" s="2">
        <v>2050</v>
      </c>
      <c r="G17" s="2">
        <v>2</v>
      </c>
      <c r="H17" s="2">
        <v>1</v>
      </c>
      <c r="I17" s="2">
        <v>18</v>
      </c>
      <c r="J17" s="2">
        <v>5</v>
      </c>
      <c r="K17" s="2">
        <v>520</v>
      </c>
      <c r="L17" s="2">
        <v>0</v>
      </c>
      <c r="M17" s="2">
        <v>0</v>
      </c>
      <c r="N17" s="2">
        <v>12</v>
      </c>
      <c r="O17" s="2">
        <v>0.85</v>
      </c>
    </row>
    <row r="18" spans="1:15" x14ac:dyDescent="0.25">
      <c r="A18" s="2">
        <v>17</v>
      </c>
      <c r="B18" s="2">
        <v>102</v>
      </c>
      <c r="C18" s="2">
        <v>2</v>
      </c>
      <c r="D18" s="2">
        <v>110</v>
      </c>
      <c r="E18" s="2">
        <v>4.2</v>
      </c>
      <c r="F18" s="2">
        <v>1900</v>
      </c>
      <c r="G18" s="2">
        <v>3</v>
      </c>
      <c r="H18" s="2">
        <v>2</v>
      </c>
      <c r="I18" s="2">
        <v>15</v>
      </c>
      <c r="J18" s="2">
        <v>4</v>
      </c>
      <c r="K18" s="2">
        <v>460</v>
      </c>
      <c r="L18" s="2">
        <v>1</v>
      </c>
      <c r="M18" s="2">
        <v>0</v>
      </c>
      <c r="N18" s="2">
        <v>10</v>
      </c>
      <c r="O18" s="2">
        <v>0.75</v>
      </c>
    </row>
    <row r="19" spans="1:15" x14ac:dyDescent="0.25">
      <c r="A19" s="2">
        <v>18</v>
      </c>
      <c r="B19" s="2">
        <v>103</v>
      </c>
      <c r="C19" s="2">
        <v>3</v>
      </c>
      <c r="D19" s="2">
        <v>145</v>
      </c>
      <c r="E19" s="2">
        <v>4.7</v>
      </c>
      <c r="F19" s="2">
        <v>2250</v>
      </c>
      <c r="G19" s="2">
        <v>1</v>
      </c>
      <c r="H19" s="2">
        <v>3</v>
      </c>
      <c r="I19" s="2">
        <v>24</v>
      </c>
      <c r="J19" s="2">
        <v>7</v>
      </c>
      <c r="K19" s="2">
        <v>620</v>
      </c>
      <c r="L19" s="2">
        <v>0</v>
      </c>
      <c r="M19" s="2">
        <v>0</v>
      </c>
      <c r="N19" s="2">
        <v>17</v>
      </c>
      <c r="O19" s="2">
        <v>0.9</v>
      </c>
    </row>
    <row r="20" spans="1:15" x14ac:dyDescent="0.25">
      <c r="A20" s="2">
        <v>19</v>
      </c>
      <c r="B20" s="2">
        <v>104</v>
      </c>
      <c r="C20" s="2">
        <v>1</v>
      </c>
      <c r="D20" s="2">
        <v>120</v>
      </c>
      <c r="E20" s="2">
        <v>4.3</v>
      </c>
      <c r="F20" s="2">
        <v>2000</v>
      </c>
      <c r="G20" s="2">
        <v>2</v>
      </c>
      <c r="H20" s="2">
        <v>1</v>
      </c>
      <c r="I20" s="2">
        <v>18</v>
      </c>
      <c r="J20" s="2">
        <v>5</v>
      </c>
      <c r="K20" s="2">
        <v>510</v>
      </c>
      <c r="L20" s="2">
        <v>0</v>
      </c>
      <c r="M20" s="2">
        <v>0</v>
      </c>
      <c r="N20" s="2">
        <v>11</v>
      </c>
      <c r="O20" s="2">
        <v>0.8</v>
      </c>
    </row>
    <row r="21" spans="1:15" x14ac:dyDescent="0.25">
      <c r="A21" s="2">
        <v>20</v>
      </c>
      <c r="B21" s="2">
        <v>105</v>
      </c>
      <c r="C21" s="2">
        <v>2</v>
      </c>
      <c r="D21" s="2">
        <v>130</v>
      </c>
      <c r="E21" s="2">
        <v>4.5</v>
      </c>
      <c r="F21" s="2">
        <v>2100</v>
      </c>
      <c r="G21" s="2">
        <v>3</v>
      </c>
      <c r="H21" s="2">
        <v>2</v>
      </c>
      <c r="I21" s="2">
        <v>21</v>
      </c>
      <c r="J21" s="2">
        <v>6</v>
      </c>
      <c r="K21" s="2">
        <v>570</v>
      </c>
      <c r="L21" s="2">
        <v>0</v>
      </c>
      <c r="M21" s="2">
        <v>0</v>
      </c>
      <c r="N21" s="2">
        <v>13</v>
      </c>
      <c r="O21" s="2">
        <v>0.85</v>
      </c>
    </row>
    <row r="22" spans="1:15" x14ac:dyDescent="0.25">
      <c r="A22" s="2">
        <v>21</v>
      </c>
      <c r="B22" s="2">
        <v>101</v>
      </c>
      <c r="C22" s="2">
        <v>3</v>
      </c>
      <c r="D22" s="2">
        <v>85</v>
      </c>
      <c r="E22" s="2">
        <v>3.5</v>
      </c>
      <c r="F22" s="2">
        <v>1600</v>
      </c>
      <c r="G22" s="2">
        <v>6</v>
      </c>
      <c r="H22" s="2">
        <v>0</v>
      </c>
      <c r="I22" s="2">
        <v>6</v>
      </c>
      <c r="J22" s="2">
        <v>2</v>
      </c>
      <c r="K22" s="2">
        <v>280</v>
      </c>
      <c r="L22" s="2">
        <v>5</v>
      </c>
      <c r="M22" s="2">
        <v>1</v>
      </c>
      <c r="N22" s="2">
        <v>5</v>
      </c>
      <c r="O22" s="2">
        <v>0.45</v>
      </c>
    </row>
    <row r="23" spans="1:15" x14ac:dyDescent="0.25">
      <c r="A23" s="2">
        <v>22</v>
      </c>
      <c r="B23" s="2">
        <v>102</v>
      </c>
      <c r="C23" s="2">
        <v>1</v>
      </c>
      <c r="D23" s="2">
        <v>90</v>
      </c>
      <c r="E23" s="2">
        <v>3.6</v>
      </c>
      <c r="F23" s="2">
        <v>1700</v>
      </c>
      <c r="G23" s="2">
        <v>5</v>
      </c>
      <c r="H23" s="2">
        <v>1</v>
      </c>
      <c r="I23" s="2">
        <v>9</v>
      </c>
      <c r="J23" s="2">
        <v>3</v>
      </c>
      <c r="K23" s="2">
        <v>310</v>
      </c>
      <c r="L23" s="2">
        <v>3</v>
      </c>
      <c r="M23" s="2">
        <v>0</v>
      </c>
      <c r="N23" s="2">
        <v>7</v>
      </c>
      <c r="O23" s="2">
        <v>0.5</v>
      </c>
    </row>
    <row r="24" spans="1:15" x14ac:dyDescent="0.25">
      <c r="A24" s="2">
        <v>23</v>
      </c>
      <c r="B24" s="2">
        <v>103</v>
      </c>
      <c r="C24" s="2">
        <v>2</v>
      </c>
      <c r="D24" s="2">
        <v>100</v>
      </c>
      <c r="E24" s="2">
        <v>3.9</v>
      </c>
      <c r="F24" s="2">
        <v>1800</v>
      </c>
      <c r="G24" s="2">
        <v>4</v>
      </c>
      <c r="H24" s="2">
        <v>2</v>
      </c>
      <c r="I24" s="2">
        <v>12</v>
      </c>
      <c r="J24" s="2">
        <v>4</v>
      </c>
      <c r="K24" s="2">
        <v>370</v>
      </c>
      <c r="L24" s="2">
        <v>2</v>
      </c>
      <c r="M24" s="2">
        <v>0</v>
      </c>
      <c r="N24" s="2">
        <v>8</v>
      </c>
      <c r="O24" s="2">
        <v>0.65</v>
      </c>
    </row>
    <row r="25" spans="1:15" x14ac:dyDescent="0.25">
      <c r="A25" s="2">
        <v>24</v>
      </c>
      <c r="B25" s="2">
        <v>104</v>
      </c>
      <c r="C25" s="2">
        <v>3</v>
      </c>
      <c r="D25" s="2">
        <v>115</v>
      </c>
      <c r="E25" s="2">
        <v>4.0999999999999996</v>
      </c>
      <c r="F25" s="2">
        <v>1950</v>
      </c>
      <c r="G25" s="2">
        <v>2</v>
      </c>
      <c r="H25" s="2">
        <v>3</v>
      </c>
      <c r="I25" s="2">
        <v>15</v>
      </c>
      <c r="J25" s="2">
        <v>5</v>
      </c>
      <c r="K25" s="2">
        <v>430</v>
      </c>
      <c r="L25" s="2">
        <v>1</v>
      </c>
      <c r="M25" s="2">
        <v>0</v>
      </c>
      <c r="N25" s="2">
        <v>10</v>
      </c>
      <c r="O25" s="2">
        <v>0.75</v>
      </c>
    </row>
    <row r="26" spans="1:15" x14ac:dyDescent="0.25">
      <c r="A26" s="2">
        <v>25</v>
      </c>
      <c r="B26" s="2">
        <v>105</v>
      </c>
      <c r="C26" s="2">
        <v>1</v>
      </c>
      <c r="D26" s="2">
        <v>140</v>
      </c>
      <c r="E26" s="2">
        <v>4.5999999999999996</v>
      </c>
      <c r="F26" s="2">
        <v>2200</v>
      </c>
      <c r="G26" s="2">
        <v>1</v>
      </c>
      <c r="H26" s="2">
        <v>4</v>
      </c>
      <c r="I26" s="2">
        <v>24</v>
      </c>
      <c r="J26" s="2">
        <v>7</v>
      </c>
      <c r="K26" s="2">
        <v>600</v>
      </c>
      <c r="L26" s="2">
        <v>0</v>
      </c>
      <c r="M26" s="2">
        <v>0</v>
      </c>
      <c r="N26" s="2">
        <v>15</v>
      </c>
      <c r="O26" s="2">
        <v>0.9</v>
      </c>
    </row>
    <row r="27" spans="1:15" x14ac:dyDescent="0.25">
      <c r="A27" s="2">
        <v>26</v>
      </c>
      <c r="B27" s="2">
        <v>101</v>
      </c>
      <c r="C27" s="2">
        <v>2</v>
      </c>
      <c r="D27" s="2">
        <v>135</v>
      </c>
      <c r="E27" s="2">
        <v>4.7</v>
      </c>
      <c r="F27" s="2">
        <v>2150</v>
      </c>
      <c r="G27" s="2">
        <v>1</v>
      </c>
      <c r="H27" s="2">
        <v>3</v>
      </c>
      <c r="I27" s="2">
        <v>21</v>
      </c>
      <c r="J27" s="2">
        <v>6</v>
      </c>
      <c r="K27" s="2">
        <v>580</v>
      </c>
      <c r="L27" s="2">
        <v>0</v>
      </c>
      <c r="M27" s="2">
        <v>0</v>
      </c>
      <c r="N27" s="2">
        <v>14</v>
      </c>
      <c r="O27" s="2">
        <v>0.88</v>
      </c>
    </row>
    <row r="28" spans="1:15" x14ac:dyDescent="0.25">
      <c r="A28" s="2">
        <v>27</v>
      </c>
      <c r="B28" s="2">
        <v>102</v>
      </c>
      <c r="C28" s="2">
        <v>3</v>
      </c>
      <c r="D28" s="2">
        <v>125</v>
      </c>
      <c r="E28" s="2">
        <v>4.2</v>
      </c>
      <c r="F28" s="2">
        <v>2050</v>
      </c>
      <c r="G28" s="2">
        <v>2</v>
      </c>
      <c r="H28" s="2">
        <v>2</v>
      </c>
      <c r="I28" s="2">
        <v>18</v>
      </c>
      <c r="J28" s="2">
        <v>5</v>
      </c>
      <c r="K28" s="2">
        <v>500</v>
      </c>
      <c r="L28" s="2">
        <v>1</v>
      </c>
      <c r="M28" s="2">
        <v>0</v>
      </c>
      <c r="N28" s="2">
        <v>12</v>
      </c>
      <c r="O28" s="2">
        <v>0.8</v>
      </c>
    </row>
    <row r="29" spans="1:15" x14ac:dyDescent="0.25">
      <c r="A29" s="2">
        <v>28</v>
      </c>
      <c r="B29" s="2">
        <v>103</v>
      </c>
      <c r="C29" s="2">
        <v>1</v>
      </c>
      <c r="D29" s="2">
        <v>150</v>
      </c>
      <c r="E29" s="2">
        <v>4.8</v>
      </c>
      <c r="F29" s="2">
        <v>2300</v>
      </c>
      <c r="G29" s="2">
        <v>1</v>
      </c>
      <c r="H29" s="2">
        <v>4</v>
      </c>
      <c r="I29" s="2">
        <v>24</v>
      </c>
      <c r="J29" s="2">
        <v>7</v>
      </c>
      <c r="K29" s="2">
        <v>620</v>
      </c>
      <c r="L29" s="2">
        <v>0</v>
      </c>
      <c r="M29" s="2">
        <v>0</v>
      </c>
      <c r="N29" s="2">
        <v>16</v>
      </c>
      <c r="O29" s="2">
        <v>0.92</v>
      </c>
    </row>
    <row r="30" spans="1:15" x14ac:dyDescent="0.25">
      <c r="A30" s="2">
        <v>29</v>
      </c>
      <c r="B30" s="2">
        <v>104</v>
      </c>
      <c r="C30" s="2">
        <v>2</v>
      </c>
      <c r="D30" s="2">
        <v>105</v>
      </c>
      <c r="E30" s="2">
        <v>4</v>
      </c>
      <c r="F30" s="2">
        <v>1850</v>
      </c>
      <c r="G30" s="2">
        <v>3</v>
      </c>
      <c r="H30" s="2">
        <v>1</v>
      </c>
      <c r="I30" s="2">
        <v>12</v>
      </c>
      <c r="J30" s="2">
        <v>4</v>
      </c>
      <c r="K30" s="2">
        <v>410</v>
      </c>
      <c r="L30" s="2">
        <v>1</v>
      </c>
      <c r="M30" s="2">
        <v>0</v>
      </c>
      <c r="N30" s="2">
        <v>9</v>
      </c>
      <c r="O30" s="2">
        <v>0.7</v>
      </c>
    </row>
    <row r="31" spans="1:15" x14ac:dyDescent="0.25">
      <c r="A31" s="2">
        <v>30</v>
      </c>
      <c r="B31" s="2">
        <v>105</v>
      </c>
      <c r="C31" s="2">
        <v>3</v>
      </c>
      <c r="D31" s="2">
        <v>100</v>
      </c>
      <c r="E31" s="2">
        <v>3.9</v>
      </c>
      <c r="F31" s="2">
        <v>1800</v>
      </c>
      <c r="G31" s="2">
        <v>4</v>
      </c>
      <c r="H31" s="2">
        <v>2</v>
      </c>
      <c r="I31" s="2">
        <v>9</v>
      </c>
      <c r="J31" s="2">
        <v>3</v>
      </c>
      <c r="K31" s="2">
        <v>380</v>
      </c>
      <c r="L31" s="2">
        <v>2</v>
      </c>
      <c r="M31" s="2">
        <v>0</v>
      </c>
      <c r="N31" s="2">
        <v>8</v>
      </c>
      <c r="O31" s="2">
        <v>0.65</v>
      </c>
    </row>
  </sheetData>
  <conditionalFormatting sqref="O1:O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D993-5F0B-4111-8D49-C5D03E31B76F}">
  <dimension ref="A1:A9"/>
  <sheetViews>
    <sheetView tabSelected="1" workbookViewId="0">
      <selection activeCell="H25" sqref="H25"/>
    </sheetView>
  </sheetViews>
  <sheetFormatPr defaultRowHeight="15" x14ac:dyDescent="0.25"/>
  <sheetData>
    <row r="1" spans="1:1" ht="45" x14ac:dyDescent="0.25">
      <c r="A1" s="1" t="s">
        <v>10</v>
      </c>
    </row>
    <row r="2" spans="1:1" x14ac:dyDescent="0.25">
      <c r="A2" s="2">
        <v>300</v>
      </c>
    </row>
    <row r="3" spans="1:1" x14ac:dyDescent="0.25">
      <c r="A3" s="2">
        <v>400</v>
      </c>
    </row>
    <row r="4" spans="1:1" x14ac:dyDescent="0.25">
      <c r="A4" s="2">
        <v>410</v>
      </c>
    </row>
    <row r="5" spans="1:1" x14ac:dyDescent="0.25">
      <c r="A5" s="2">
        <v>460</v>
      </c>
    </row>
    <row r="6" spans="1:1" x14ac:dyDescent="0.25">
      <c r="A6" s="2">
        <v>430</v>
      </c>
    </row>
    <row r="7" spans="1:1" x14ac:dyDescent="0.25">
      <c r="A7" s="2">
        <v>450</v>
      </c>
    </row>
    <row r="8" spans="1:1" x14ac:dyDescent="0.25">
      <c r="A8" s="2">
        <v>450</v>
      </c>
    </row>
    <row r="9" spans="1:1" x14ac:dyDescent="0.25">
      <c r="A9" s="2">
        <v>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Sheet4</vt:lpstr>
      <vt:lpstr>Dashboard</vt:lpstr>
      <vt:lpstr>Sheet7</vt:lpstr>
      <vt:lpstr>Sheet5</vt:lpstr>
      <vt:lpstr>Sheet3</vt:lpstr>
      <vt:lpstr>Sheet6</vt:lpstr>
      <vt:lpstr>Sheet10</vt:lpstr>
      <vt:lpstr>Cleaned Data</vt:lpstr>
      <vt:lpstr>Sheet1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saraamjad2527@gmail.com</dc:creator>
  <cp:lastModifiedBy>saraamjad2527@gmail.com</cp:lastModifiedBy>
  <dcterms:created xsi:type="dcterms:W3CDTF">2025-05-30T11:15:34Z</dcterms:created>
  <dcterms:modified xsi:type="dcterms:W3CDTF">2025-06-25T08:51:41Z</dcterms:modified>
</cp:coreProperties>
</file>